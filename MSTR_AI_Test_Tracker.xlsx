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🤖 Agents" sheetId="2" state="visible" r:id="rId4"/>
    <sheet name="📊 Auto Dashboard" sheetId="3" state="visible" r:id="rId5"/>
    <sheet name="📝 Narratives &amp; Summary" sheetId="4" state="visible" r:id="rId6"/>
    <sheet name="🔮 HyperIntelligence" sheetId="5" state="visible" r:id="rId7"/>
    <sheet name="🌐 Universal Agent" sheetId="6" state="visible" r:id="rId8"/>
    <sheet name="📄 Mosaic &amp; Models" sheetId="7" state="visible" r:id="rId9"/>
    <sheet name="🏛️ Sentinel &amp; Govern" sheetId="8" state="visible" r:id="rId10"/>
    <sheet name="🔊 Voice &amp; MCP" sheetId="9" state="visible" r:id="rId11"/>
    <sheet name="📋 Observations Log" sheetId="10" state="visible" r:id="rId12"/>
    <sheet name="📖 Testing Guid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<sst xmlns="http://schemas.openxmlformats.org/spreadsheetml/2006/main" count="848" uniqueCount="560">
  <si>
    <t xml:space="preserve">MicroStrategy / Strategy One — AI Feature Test Tracker</t>
  </si>
  <si>
    <t xml:space="preserve">December 2025 Release  |  Workstation Version  |  Enterprise BI Test Cases</t>
  </si>
  <si>
    <t xml:space="preserve">TOTAL TESTS</t>
  </si>
  <si>
    <t xml:space="preserve">PASSED ✓</t>
  </si>
  <si>
    <t xml:space="preserve">FAILED ✗</t>
  </si>
  <si>
    <t xml:space="preserve">PARTIAL ⚠</t>
  </si>
  <si>
    <t xml:space="preserve">NOT TESTED</t>
  </si>
  <si>
    <t xml:space="preserve">PASS RATE %</t>
  </si>
  <si>
    <t xml:space="preserve">FEATURE COVERAGE SUMMARY</t>
  </si>
  <si>
    <t xml:space="preserve">Feature Area</t>
  </si>
  <si>
    <t xml:space="preserve">Sheet</t>
  </si>
  <si>
    <t xml:space="preserve">Total Tests</t>
  </si>
  <si>
    <t xml:space="preserve">Pass</t>
  </si>
  <si>
    <t xml:space="preserve">Fail</t>
  </si>
  <si>
    <t xml:space="preserve">Partial</t>
  </si>
  <si>
    <t xml:space="preserve">Pending</t>
  </si>
  <si>
    <t xml:space="preserve">Pass Rate</t>
  </si>
  <si>
    <t xml:space="preserve">Status</t>
  </si>
  <si>
    <t xml:space="preserve">Notes</t>
  </si>
  <si>
    <t xml:space="preserve">Strategy Agents (NLP to Answer)</t>
  </si>
  <si>
    <t xml:space="preserve">🤖 Agents</t>
  </si>
  <si>
    <t xml:space="preserve">Core NL to answer feature</t>
  </si>
  <si>
    <t xml:space="preserve">Auto Dashboard</t>
  </si>
  <si>
    <t xml:space="preserve">📊 Auto Dashboard</t>
  </si>
  <si>
    <t xml:space="preserve">AI-generated dashboards</t>
  </si>
  <si>
    <t xml:space="preserve">Auto Narratives &amp; Summary</t>
  </si>
  <si>
    <t xml:space="preserve">📝 Narratives &amp; Summary</t>
  </si>
  <si>
    <t xml:space="preserve">Plain English summaries on charts</t>
  </si>
  <si>
    <t xml:space="preserve">HyperIntelligence</t>
  </si>
  <si>
    <t xml:space="preserve">🔮 HyperIntelligence</t>
  </si>
  <si>
    <t xml:space="preserve">Browser overlay + Agent cards</t>
  </si>
  <si>
    <t xml:space="preserve">Universal Agent</t>
  </si>
  <si>
    <t xml:space="preserve">🌐 Universal Agent</t>
  </si>
  <si>
    <t xml:space="preserve">Multi-agent routing</t>
  </si>
  <si>
    <t xml:space="preserve">Mosaic Models &amp; Semantic Layer</t>
  </si>
  <si>
    <t xml:space="preserve">📄 Mosaic &amp; Models</t>
  </si>
  <si>
    <t xml:space="preserve">Mosaic semantic data models</t>
  </si>
  <si>
    <t xml:space="preserve">Sentinel &amp; Governance</t>
  </si>
  <si>
    <t xml:space="preserve">🏛️ Sentinel &amp; Govern</t>
  </si>
  <si>
    <t xml:space="preserve">Mosaic Sentinel audit &amp; compliance</t>
  </si>
  <si>
    <t xml:space="preserve">Voice &amp; MCP Integration</t>
  </si>
  <si>
    <t xml:space="preserve">🔊 Voice &amp; MCP</t>
  </si>
  <si>
    <t xml:space="preserve">AI Voice + MCP protocol</t>
  </si>
  <si>
    <t xml:space="preserve">TOTAL</t>
  </si>
  <si>
    <t xml:space="preserve">STATUS LEGEND</t>
  </si>
  <si>
    <t xml:space="preserve">PASS</t>
  </si>
  <si>
    <t xml:space="preserve">Feature works as expected — meets all acceptance criteria</t>
  </si>
  <si>
    <t xml:space="preserve">FAIL</t>
  </si>
  <si>
    <t xml:space="preserve">Feature does not work or produces wrong output</t>
  </si>
  <si>
    <t xml:space="preserve">PARTIAL</t>
  </si>
  <si>
    <t xml:space="preserve">Feature works but not fully — needs improvement or workaround</t>
  </si>
  <si>
    <t xml:space="preserve">NOT UP TO MARK</t>
  </si>
  <si>
    <t xml:space="preserve">Feature works but quality/accuracy is below acceptable threshold</t>
  </si>
  <si>
    <t xml:space="preserve">BLOCKED</t>
  </si>
  <si>
    <t xml:space="preserve">Cannot test — dependency missing (browser extension, license, config)</t>
  </si>
  <si>
    <t xml:space="preserve">PENDING</t>
  </si>
  <si>
    <t xml:space="preserve">Not yet tested — fill this in as you test</t>
  </si>
  <si>
    <t xml:space="preserve">TESTER INFO</t>
  </si>
  <si>
    <t xml:space="preserve">Tester Name:</t>
  </si>
  <si>
    <t xml:space="preserve">Environment:</t>
  </si>
  <si>
    <t xml:space="preserve">MSTR Version:</t>
  </si>
  <si>
    <t xml:space="preserve">Test Start Date:</t>
  </si>
  <si>
    <t xml:space="preserve">Test End Date:</t>
  </si>
  <si>
    <t xml:space="preserve">Project / Dataset:</t>
  </si>
  <si>
    <t xml:space="preserve">Agents — Test Cases</t>
  </si>
  <si>
    <t xml:space="preserve">Test ID</t>
  </si>
  <si>
    <t xml:space="preserve">Feature</t>
  </si>
  <si>
    <t xml:space="preserve">Test Case Name</t>
  </si>
  <si>
    <t xml:space="preserve">Pre-conditions</t>
  </si>
  <si>
    <t xml:space="preserve">Test Steps</t>
  </si>
  <si>
    <t xml:space="preserve">Input / Query Text</t>
  </si>
  <si>
    <t xml:space="preserve">Expected Result</t>
  </si>
  <si>
    <t xml:space="preserve">Actual Result / Observation</t>
  </si>
  <si>
    <t xml:space="preserve">Severity</t>
  </si>
  <si>
    <t xml:space="preserve">Notes &amp; Observations</t>
  </si>
  <si>
    <t xml:space="preserve">AG-01</t>
  </si>
  <si>
    <t xml:space="preserve">Strategy Agents</t>
  </si>
  <si>
    <t xml:space="preserve">Basic single metric answer</t>
  </si>
  <si>
    <t xml:space="preserve">Agent configured with revenue dataset. Dataset AI-enabled in Workstation.</t>
  </si>
  <si>
    <t xml:space="preserve">1. Open Agent in Library
2. Type the input query
3. Observe response</t>
  </si>
  <si>
    <t xml:space="preserve">What is our total total revenue for 2025?</t>
  </si>
  <si>
    <t xml:space="preserve">Single KPI answer returned with correct dollar amount. Chart type = KPI card. Narrative included explaining the number.</t>
  </si>
  <si>
    <t xml:space="preserve">High</t>
  </si>
  <si>
    <t xml:space="preserve">AG-02</t>
  </si>
  <si>
    <t xml:space="preserve">Segmentation by dimension</t>
  </si>
  <si>
    <t xml:space="preserve">Agent configured with product category dimension and revenue measure.</t>
  </si>
  <si>
    <t xml:space="preserve">1. Open Agent
2. Type query
3. Verify chart type and data breakdown</t>
  </si>
  <si>
    <t xml:space="preserve">Show me total revenue by product category for 2025</t>
  </si>
  <si>
    <t xml:space="preserve">Bar chart returned breaking revenue into Product Line A, Product Line B, Product C, etc. All categories visible. Chart labeled correctly.</t>
  </si>
  <si>
    <t xml:space="preserve">AG-03</t>
  </si>
  <si>
    <t xml:space="preserve">Ratio / calculated metric</t>
  </si>
  <si>
    <t xml:space="preserve">Agent has both incurred cost cost and recognized revenue in dataset.</t>
  </si>
  <si>
    <t xml:space="preserve">1. Open Agent
2. Type query
3. Check if ratio is calculated correctly</t>
  </si>
  <si>
    <t xml:space="preserve">What is our cost ratio for product line A this year?</t>
  </si>
  <si>
    <t xml:space="preserve">Returns cost ratio as percentage (e.g. 73.4%). Shows incurred cost cost and recognized revenue used in calculation. AI Explainability shows formula.</t>
  </si>
  <si>
    <t xml:space="preserve">AG-04</t>
  </si>
  <si>
    <t xml:space="preserve">Multi-turn conversation — drill down</t>
  </si>
  <si>
    <t xml:space="preserve">Agent supports conversation history. Prior query returned Product Category breakdown.</t>
  </si>
  <si>
    <t xml:space="preserve">1. First ask AG-02
2. Then ask follow-up without restating context</t>
  </si>
  <si>
    <t xml:space="preserve">Now break that down by region</t>
  </si>
  <si>
    <t xml:space="preserve">Agent maintains context from previous query. Returns same metric (revenue by product category) now further broken down by region without restating original question.</t>
  </si>
  <si>
    <t xml:space="preserve">AG-05</t>
  </si>
  <si>
    <t xml:space="preserve">Ambiguous business term handling</t>
  </si>
  <si>
    <t xml:space="preserve">Agent has business term annotations configured (or not). Test both scenarios.</t>
  </si>
  <si>
    <t xml:space="preserve">1. Type ambiguous query
2. Observe if Agent asks for clarification OR interprets correctly</t>
  </si>
  <si>
    <t xml:space="preserve">Show me our active book</t>
  </si>
  <si>
    <t xml:space="preserve">SCENARIO A (annotations exist): Agent correctly maps 'active book' to records with status=ACTIVE.
SCENARIO B (no annotation): Agent asks clarifying question: 'Did you mean active records? What status field defines active?'</t>
  </si>
  <si>
    <t xml:space="preserve">AG-06</t>
  </si>
  <si>
    <t xml:space="preserve">Time intelligence — YTD vs prior year</t>
  </si>
  <si>
    <t xml:space="preserve">Dataset has date dimension. Mosaic AI-native time intelligence enabled.</t>
  </si>
  <si>
    <t xml:space="preserve">1. Type query with time comparison
2. Check if correct date range used
3. Verify comparison period is correct</t>
  </si>
  <si>
    <t xml:space="preserve">How does our YTD revenue compare to the same period last year?</t>
  </si>
  <si>
    <t xml:space="preserve">Returns two values: current YTD and prior YTD to same date. Shows % change. Date ranges scoped correctly to today's date for current year and exact same period last year.</t>
  </si>
  <si>
    <t xml:space="preserve">AG-07</t>
  </si>
  <si>
    <t xml:space="preserve">Ranking / Top N</t>
  </si>
  <si>
    <t xml:space="preserve">Agent has sales rep name dimension and new business revenue measure.</t>
  </si>
  <si>
    <t xml:space="preserve">1. Type ranking query
2. Verify sort order
3. Check count is correct</t>
  </si>
  <si>
    <t xml:space="preserve">Who are our top 10 sales reps by new business revenue this year?</t>
  </si>
  <si>
    <t xml:space="preserve">Returns table of exactly 10 agents sorted descending by revenue. Sales rep names correct. No duplicates. Shows revenue for each.</t>
  </si>
  <si>
    <t xml:space="preserve">AG-08</t>
  </si>
  <si>
    <t xml:space="preserve">Complex multi-filter query</t>
  </si>
  <si>
    <t xml:space="preserve">Dataset has cost ratio, product category, and end date fields.</t>
  </si>
  <si>
    <t xml:space="preserve">1. Type complex filter query
2. Verify all three filter conditions applied correctly
3. Check result count seems reasonable</t>
  </si>
  <si>
    <t xml:space="preserve">Show me product category transactions with cost ratio above 100% that renew in the next 90 days</t>
  </si>
  <si>
    <t xml:space="preserve">Returns filtered result set meeting ALL THREE criteria simultaneously: Product Category = product line A AND cost ratio &gt; 100% AND end date within 90 days of today.</t>
  </si>
  <si>
    <t xml:space="preserve">AG-09</t>
  </si>
  <si>
    <t xml:space="preserve">24-month trend line</t>
  </si>
  <si>
    <t xml:space="preserve">Dataset has at least 24 months of historical data with date grain at monthly level.</t>
  </si>
  <si>
    <t xml:space="preserve">1. Type trend query
2. Verify time axis has 24 data points
3. Check chart type is line</t>
  </si>
  <si>
    <t xml:space="preserve">Show me our cost ratio trend by month for the last 24 months</t>
  </si>
  <si>
    <t xml:space="preserve">Line chart returned with exactly 24 monthly data points. X-axis shows month labels. Trend line or area visible. Most recent month is current month.</t>
  </si>
  <si>
    <t xml:space="preserve">AG-10</t>
  </si>
  <si>
    <t xml:space="preserve">Cross-metric scatter / comparison</t>
  </si>
  <si>
    <t xml:space="preserve">Agent has both revenue volume and cost ratio measures by business segment.</t>
  </si>
  <si>
    <t xml:space="preserve">1. Type query asking for two metrics simultaneously
2. Observe chart type selected</t>
  </si>
  <si>
    <t xml:space="preserve">Which business segments have both high revenue volume and high cost ratio?</t>
  </si>
  <si>
    <t xml:space="preserve">Scatter plot or bubble chart returned with revenue on one axis and cost ratio on other. Each bubble/point = one business segment. High-risk quadrant visible.</t>
  </si>
  <si>
    <t xml:space="preserve">AG-11</t>
  </si>
  <si>
    <t xml:space="preserve">AI Explainability — show reasoning</t>
  </si>
  <si>
    <t xml:space="preserve">AI Explainability feature enabled in Strategy One settings.</t>
  </si>
  <si>
    <t xml:space="preserve">1. Ask any query
2. Look for Explainability option in response
3. Click to expand reasoning</t>
  </si>
  <si>
    <t xml:space="preserve">What is our renewal retention rate for product line B?</t>
  </si>
  <si>
    <t xml:space="preserve">Explainability panel shows: (1) what Agent interpreted the question to mean, (2) which dataset and columns used, (3) how the metric was calculated. User can verify AI did not hallucinate metric definition.</t>
  </si>
  <si>
    <t xml:space="preserve">AG-12</t>
  </si>
  <si>
    <t xml:space="preserve">User feedback / personalization</t>
  </si>
  <si>
    <t xml:space="preserve">Agent supports user-level feedback (individual feedback feature).</t>
  </si>
  <si>
    <t xml:space="preserve">1. Ask query using abbreviation
2. Agent gives wrong interpretation
3. Provide feedback to correct it
4. Ask same query again</t>
  </si>
  <si>
    <t xml:space="preserve">Show me CL revenue for Q4
[Feedback: CL means Product Line A, not Costs]</t>
  </si>
  <si>
    <t xml:space="preserve">After feedback, Agent correctly interprets 'CL' as Product Line A for this user. Personalization persists in subsequent sessions.</t>
  </si>
  <si>
    <t xml:space="preserve">Medium</t>
  </si>
  <si>
    <t xml:space="preserve">AG-13</t>
  </si>
  <si>
    <t xml:space="preserve">Question Agent cannot answer — graceful fail</t>
  </si>
  <si>
    <t xml:space="preserve">Dataset does NOT have restricted data. Agent configured without restricted data metric.</t>
  </si>
  <si>
    <t xml:space="preserve">1. Ask question the agent has no data for
2. Observe how Agent handles it</t>
  </si>
  <si>
    <t xml:space="preserve">What is the restricted metric of our business analysts?</t>
  </si>
  <si>
    <t xml:space="preserve">Agent responds gracefully: explains it does not have restricted data available, does NOT hallucinate a number, offers suggestions for related questions it CAN answer.</t>
  </si>
  <si>
    <t xml:space="preserve">AG-14</t>
  </si>
  <si>
    <t xml:space="preserve">Open-ended non-numeric question</t>
  </si>
  <si>
    <t xml:space="preserve">Agent supports unstructured / knowledge-based questions (if configured).</t>
  </si>
  <si>
    <t xml:space="preserve">1. Ask non-numeric question about business context
2. See if Agent answers or deflects</t>
  </si>
  <si>
    <t xml:space="preserve">Why did our cost ratio increase last quarter?</t>
  </si>
  <si>
    <t xml:space="preserve">Agent attempts root cause analysis: shows trend, identifies contributing segments or lines, may suggest correlation with external factors. If only structured data: returns the segments with highest cost ratio increase and lets user draw conclusions.</t>
  </si>
  <si>
    <t xml:space="preserve">AG-15</t>
  </si>
  <si>
    <t xml:space="preserve">Agent embedded in Teams</t>
  </si>
  <si>
    <t xml:space="preserve">Strategy Agent configured for Microsoft Teams integration (April 2025 feature).</t>
  </si>
  <si>
    <t xml:space="preserve">1. Open Microsoft Teams
2. Navigate to Strategy Agent app or channel
3. Type query in Teams chat</t>
  </si>
  <si>
    <t xml:space="preserve">Show me our top 5 regions by product revenue this year</t>
  </si>
  <si>
    <t xml:space="preserve">Agent responds directly in Teams chat with chart image and narrative. No need to open Strategy One separately. Response matches what would appear in Library.</t>
  </si>
  <si>
    <t xml:space="preserve">Auto Dashboard — Test Cases</t>
  </si>
  <si>
    <t xml:space="preserve">AD-01</t>
  </si>
  <si>
    <t xml:space="preserve">Single chart from plain English</t>
  </si>
  <si>
    <t xml:space="preserve">Auto Dashboard enabled. Dataset AI-enabled with revenue and product category fields.</t>
  </si>
  <si>
    <t xml:space="preserve">1. Open dossier in Edit mode or new dossier
2. Use Auto Dashboard feature
3. Type description
4. Accept generated visualization</t>
  </si>
  <si>
    <t xml:space="preserve">Create a bar chart of total revenue by product category for 2025</t>
  </si>
  <si>
    <t xml:space="preserve">Bar chart generated with: correct data (revenue by product category), appropriate chart type (bar not pie for categories), correct title, axis labels, and data labels visible.</t>
  </si>
  <si>
    <t xml:space="preserve">AD-02</t>
  </si>
  <si>
    <t xml:space="preserve">Full multi-panel dashboard from description</t>
  </si>
  <si>
    <t xml:space="preserve">Dataset has revenue, cost ratio, transaction count, retention rate measures.</t>
  </si>
  <si>
    <t xml:space="preserve">1. Invoke Auto Dashboard for full page
2. Type multi-metric description
3. Evaluate completeness of generated output</t>
  </si>
  <si>
    <t xml:space="preserve">Build an revenue performance dashboard showing revenue, cost ratio, transaction count, and retention rate</t>
  </si>
  <si>
    <t xml:space="preserve">Dashboard generated with 4 panels minimum. Each metric gets appropriate viz type: KPI cards for single numbers, bar for breakdowns, line for trends. Layout is organized and readable.</t>
  </si>
  <si>
    <t xml:space="preserve">AD-03</t>
  </si>
  <si>
    <t xml:space="preserve">Dashboard with pre-applied filter</t>
  </si>
  <si>
    <t xml:space="preserve">Dataset has region/state dimension. Auto Dashboard available.</t>
  </si>
  <si>
    <t xml:space="preserve">1. Request dashboard with specific filter in description
2. Verify filter is applied in output</t>
  </si>
  <si>
    <t xml:space="preserve">Create a product line A overview dashboard filtered to Region 1 only</t>
  </si>
  <si>
    <t xml:space="preserve">Generated dashboard shows filter indicator for Region 1. All panels show only Region 1 data. Filter is visible and editable by user after generation.</t>
  </si>
  <si>
    <t xml:space="preserve">AD-04</t>
  </si>
  <si>
    <t xml:space="preserve">Time series multi-metric</t>
  </si>
  <si>
    <t xml:space="preserve">Dataset has monthly time grain with new business, renewals, cancellation metrics.</t>
  </si>
  <si>
    <t xml:space="preserve">1. Request time-based multi-metric dashboard
2. Verify time axis and all three series present</t>
  </si>
  <si>
    <t xml:space="preserve">Build a trend dashboard showing monthly new business revenue, renewals, and churn for the last 12 months</t>
  </si>
  <si>
    <t xml:space="preserve">Line or multi-series chart showing all three metrics on same time axis over 12 months. Legend distinguishes the three series. X-axis shows month/year labels.</t>
  </si>
  <si>
    <t xml:space="preserve">AD-05</t>
  </si>
  <si>
    <t xml:space="preserve">Year-over-year comparison dashboard</t>
  </si>
  <si>
    <t xml:space="preserve">Dataset has 2+ years of historical data. Date dimension available.</t>
  </si>
  <si>
    <t xml:space="preserve">1. Request YoY comparison dashboard
2. Verify both periods present
3. Check variance is shown</t>
  </si>
  <si>
    <t xml:space="preserve">Create a dashboard comparing Q4 2025 performance vs Q4 2024 across all key metrics</t>
  </si>
  <si>
    <t xml:space="preserve">Side-by-side or variance view showing current Q4 vs prior Q4 for revenue, cost ratio, and transaction count. % change visible. Current period clearly labeled.</t>
  </si>
  <si>
    <t xml:space="preserve">AD-06</t>
  </si>
  <si>
    <t xml:space="preserve">Generate chapter/full dossier from description</t>
  </si>
  <si>
    <t xml:space="preserve">User has permission to create new dossiers. Dataset connected.</t>
  </si>
  <si>
    <t xml:space="preserve">1. Use Auto Dashboard at chapter level
2. Provide comprehensive topic description
3. Evaluate full generated dossier</t>
  </si>
  <si>
    <t xml:space="preserve">Create a complete product line A executive summary with performance overview, geographic breakdown, and month-over-month trend</t>
  </si>
  <si>
    <t xml:space="preserve">Multi-page/chapter dossier generated with: page 1 = executive summary KPIs, page 2 = geographic breakdown, page 3 = trend charts. Navigation between chapters works.</t>
  </si>
  <si>
    <t xml:space="preserve">AD-07</t>
  </si>
  <si>
    <t xml:space="preserve">Visualization type selection accuracy</t>
  </si>
  <si>
    <t xml:space="preserve">Dataset has multiple metric types: ratio, count, amount, trend.</t>
  </si>
  <si>
    <t xml:space="preserve">1. Request dashboard without specifying chart type
2. Observe what types Auto Dashboard selects
3. Evaluate appropriateness</t>
  </si>
  <si>
    <t xml:space="preserve">Build a dashboard showing cost ratio (metric), total transactions (count), revenue by region (breakdown), and monthly trend</t>
  </si>
  <si>
    <t xml:space="preserve">Cost ratio = KPI card or gauge, Transaction count = KPI card, Revenue by region = map or bar chart, Monthly trend = line chart. Auto Dashboard selects contextually appropriate types.</t>
  </si>
  <si>
    <t xml:space="preserve">AD-08</t>
  </si>
  <si>
    <t xml:space="preserve">Edit generated dashboard</t>
  </si>
  <si>
    <t xml:space="preserve">Auto Dashboard has generated a dashboard in prior test.</t>
  </si>
  <si>
    <t xml:space="preserve">1. Accept auto-generated dashboard
2. Manually modify chart type
3. Add filter panel
4. Save</t>
  </si>
  <si>
    <t xml:space="preserve">Change the bar chart to a pie chart and add a date range filter</t>
  </si>
  <si>
    <t xml:space="preserve">User can modify generated dashboard like any manually built dossier. Changes save correctly. Dashboard behaves as normal after generation — no special restrictions.</t>
  </si>
  <si>
    <t xml:space="preserve">Narratives &amp; Summary — Test Cases</t>
  </si>
  <si>
    <t xml:space="preserve">NS-01</t>
  </si>
  <si>
    <t xml:space="preserve">Auto Narratives</t>
  </si>
  <si>
    <t xml:space="preserve">KPI narrative — single number</t>
  </si>
  <si>
    <t xml:space="preserve">Auto Narratives enabled on dossier. Dossier has a KPI card visualization.</t>
  </si>
  <si>
    <t xml:space="preserve">1. Open dossier with KPI visualization
2. Enable Auto Narratives if needed
3. Read the generated narrative</t>
  </si>
  <si>
    <t xml:space="preserve">KPI card showing Total Total Revenue: $1.24B YTD</t>
  </si>
  <si>
    <t xml:space="preserve">2-3 sentence narrative generated: states the number in business language, compares to prior period, calls out growth or decline. Example: 'Total total revenue reached $1.24B year-to-date, representing an 8.3% increase versus the same period last year, driven primarily by growth in product line A.'</t>
  </si>
  <si>
    <t xml:space="preserve">NS-02</t>
  </si>
  <si>
    <t xml:space="preserve">Trend chart narrative — anomaly detection</t>
  </si>
  <si>
    <t xml:space="preserve">Dossier has line chart with 12+ months of data including a visible anomaly (spike or drop).</t>
  </si>
  <si>
    <t xml:space="preserve">1. Open dossier with trend chart
2. Check auto-generated narrative
3. Verify anomaly is mentioned</t>
  </si>
  <si>
    <t xml:space="preserve">Monthly cost ratio chart: 12 months, visible spike in month 8</t>
  </si>
  <si>
    <t xml:space="preserve">Narrative identifies the spike, quantifies it (e.g., 'Cost ratio spiked to 89% in August, 14 points above the trailing average'), and contextualizes it. Does NOT ignore the anomaly.</t>
  </si>
  <si>
    <t xml:space="preserve">NS-03</t>
  </si>
  <si>
    <t xml:space="preserve">Comparison chart narrative</t>
  </si>
  <si>
    <t xml:space="preserve">Dossier has bar chart comparing 4+ geographic regions.</t>
  </si>
  <si>
    <t xml:space="preserve">1. Open regional comparison chart
2. Check narrative
3. Verify key finding is called out</t>
  </si>
  <si>
    <t xml:space="preserve">Bar chart showing revenue by region: Region 1, Region 2, Region 4, West</t>
  </si>
  <si>
    <t xml:space="preserve">Narrative identifies the leading region, quantifies the lead, and may note concentration risk. Example: 'Region 1 leads with $420M in revenue, representing 34% of total — 2.1x the next largest region.'</t>
  </si>
  <si>
    <t xml:space="preserve">NS-04</t>
  </si>
  <si>
    <t xml:space="preserve">Decimal formatting in narrative</t>
  </si>
  <si>
    <t xml:space="preserve">Dossier has chart showing cost ratio as decimal (0.73) not percentage.</t>
  </si>
  <si>
    <t xml:space="preserve">1. Open chart with decimal ratio value
2. Check narrative language</t>
  </si>
  <si>
    <t xml:space="preserve">Chart showing cost ratio value = 0.73</t>
  </si>
  <si>
    <t xml:space="preserve">Narrative states '73% cost ratio' — NOT '0.73 cost ratio'. AI correctly converts decimal to business percentage format in natural language.</t>
  </si>
  <si>
    <t xml:space="preserve">NS-05</t>
  </si>
  <si>
    <t xml:space="preserve">Multi-metric dashboard narrative</t>
  </si>
  <si>
    <t xml:space="preserve">Dossier has multiple visualizations. Auto Narratives enabled at dossier level.</t>
  </si>
  <si>
    <t xml:space="preserve">1. Open multi-viz dossier
2. Check if narrative covers all key metrics
3. Check coherence across panels</t>
  </si>
  <si>
    <t xml:space="preserve">Dashboard with 4 panels: revenue, cost ratio, transaction count, retention rate</t>
  </si>
  <si>
    <t xml:space="preserve">Narrative synthesizes all four metrics into a coherent paragraph rather than describing each independently. Identifies overall business story across the metrics.</t>
  </si>
  <si>
    <t xml:space="preserve">NS-06</t>
  </si>
  <si>
    <t xml:space="preserve">Narrative updates when filter changes</t>
  </si>
  <si>
    <t xml:space="preserve">Dossier has filter/selector element. Auto Narratives enabled.</t>
  </si>
  <si>
    <t xml:space="preserve">1. Open dossier with default filter (all lines)
2. Read narrative
3. Change filter to specific Product Category
4. Check if narrative updates</t>
  </si>
  <si>
    <t xml:space="preserve">Filter dossier to Product Line B only — observe narrative change</t>
  </si>
  <si>
    <t xml:space="preserve">Narrative automatically updates to reflect the filtered view. New narrative references Product Line B specifically, not 'all lines'. Update is near-instant.</t>
  </si>
  <si>
    <t xml:space="preserve">NS-07</t>
  </si>
  <si>
    <t xml:space="preserve">Auto Summary</t>
  </si>
  <si>
    <t xml:space="preserve">Dossier-level executive summary</t>
  </si>
  <si>
    <t xml:space="preserve">Auto Summary feature available (distinct from narrative on individual charts).</t>
  </si>
  <si>
    <t xml:space="preserve">1. Open full dossier
2. Access Auto Summary function
3. Read generated summary</t>
  </si>
  <si>
    <t xml:space="preserve">Generate summary for 8-panel business performance dossier</t>
  </si>
  <si>
    <t xml:space="preserve">Produces a 3-5 sentence executive summary of the entire dossier — not just individual charts. Synthesizes the business story across all panels. Suitable for pasting into executive email.</t>
  </si>
  <si>
    <t xml:space="preserve">NS-08</t>
  </si>
  <si>
    <t xml:space="preserve">Summary in plain business language</t>
  </si>
  <si>
    <t xml:space="preserve">Dataset contains technical field names (e.g. col_rev_amt, eff_dt, stat_cd).</t>
  </si>
  <si>
    <t xml:space="preserve">1. Generate summary on dossier using technical-named dataset
2. Check if narrative uses business language or technical names</t>
  </si>
  <si>
    <t xml:space="preserve">Generate summary when dataset columns are named: rev_amt, los_ratio, eff_dt</t>
  </si>
  <si>
    <t xml:space="preserve">Summary uses business language: 'revenue amount', 'cost ratio', 'effective date' — NOT the raw column names. AI translates technical names to readable business language.</t>
  </si>
  <si>
    <t xml:space="preserve">NS-09</t>
  </si>
  <si>
    <t xml:space="preserve">Narrative accuracy — math check</t>
  </si>
  <si>
    <t xml:space="preserve">KPI card shows a calculated metric (e.g. 73.4% cost ratio).</t>
  </si>
  <si>
    <t xml:space="preserve">1. Note the exact value shown in the chart
2. Read the narrative
3. Verify numbers in narrative match chart</t>
  </si>
  <si>
    <t xml:space="preserve">Chart shows: Cost Ratio = 73.4%</t>
  </si>
  <si>
    <t xml:space="preserve">Narrative states '73.4%' — not a rounded or approximated value. All numbers in the narrative match the data shown in the visualization exactly.</t>
  </si>
  <si>
    <t xml:space="preserve">NS-10</t>
  </si>
  <si>
    <t xml:space="preserve">Narrative for zero / no-data state</t>
  </si>
  <si>
    <t xml:space="preserve">Dossier filtered to a segment with no data or zero values.</t>
  </si>
  <si>
    <t xml:space="preserve">1. Apply filter that results in zero or null data
2. Observe narrative behavior</t>
  </si>
  <si>
    <t xml:space="preserve">Filter to a product category with no 2025 policies</t>
  </si>
  <si>
    <t xml:space="preserve">Narrative handles zero/null gracefully: states 'No data available for this selection' or 'This product category had no activity in the selected period' — does NOT hallucinate a number or produce a confusing statement.</t>
  </si>
  <si>
    <t xml:space="preserve">HyperIntelligence — Test Cases</t>
  </si>
  <si>
    <t xml:space="preserve">HI-01</t>
  </si>
  <si>
    <t xml:space="preserve">Browser extension installation</t>
  </si>
  <si>
    <t xml:space="preserve">Chrome or Edge browser. Access to Strategy One admin to get extension.</t>
  </si>
  <si>
    <t xml:space="preserve">1. Install HyperIntelligence browser extension
2. Log in with Strategy One credentials
3. Verify extension active</t>
  </si>
  <si>
    <t xml:space="preserve">Navigate to any internal web page after installing extension</t>
  </si>
  <si>
    <t xml:space="preserve">Extension icon visible in browser toolbar. Extension shows 'Connected' status. No errors in extension console.</t>
  </si>
  <si>
    <t xml:space="preserve">HI-02</t>
  </si>
  <si>
    <t xml:space="preserve">Keyword highlighting on web page</t>
  </si>
  <si>
    <t xml:space="preserve">HyperCard configured for 'Transaction Number' keyword type. Extension active.</t>
  </si>
  <si>
    <t xml:space="preserve">1. Navigate to core operational system or any page with a record ID
2. Check if record IDs are underlined/highlighted</t>
  </si>
  <si>
    <t xml:space="preserve">Navigate to page containing record ID: REC-2025-00123</t>
  </si>
  <si>
    <t xml:space="preserve">Transaction number is automatically underlined or highlighted by HyperIntelligence. Visual indicator shows data is available. No manual action required.</t>
  </si>
  <si>
    <t xml:space="preserve">HI-03</t>
  </si>
  <si>
    <t xml:space="preserve">HyperCard popup on hover</t>
  </si>
  <si>
    <t xml:space="preserve">HyperCard configured with record ID as keyword. Dataset has revenue, status, end date.</t>
  </si>
  <si>
    <t xml:space="preserve">1. Navigate to page with record ID
2. Hover over the highlighted record ID
3. Observe popup card</t>
  </si>
  <si>
    <t xml:space="preserve">Hover over record ID REC-2025-00123</t>
  </si>
  <si>
    <t xml:space="preserve">Popup card appears within 2 seconds showing: Record status, Revenue amount, End date, Cost history summary — all pulled from Strategy One dataset in real time.</t>
  </si>
  <si>
    <t xml:space="preserve">HI-04</t>
  </si>
  <si>
    <t xml:space="preserve">HyperCard on sales rep name in email</t>
  </si>
  <si>
    <t xml:space="preserve">HyperCard configured for sales rep name. Extension enabled on email client.</t>
  </si>
  <si>
    <t xml:space="preserve">1. Open Outlook or Gmail with email containing sales rep name
2. Hover over sales rep name</t>
  </si>
  <si>
    <t xml:space="preserve">Hover over sales rep name 'ABC Business Agency' in Outlook email</t>
  </si>
  <si>
    <t xml:space="preserve">HyperCard appears showing sales rep's portfolio summary: revenue volume, transaction count, retention rate, recent performance.</t>
  </si>
  <si>
    <t xml:space="preserve">HI-05</t>
  </si>
  <si>
    <t xml:space="preserve">Escalate to Agent chat from HyperCard</t>
  </si>
  <si>
    <t xml:space="preserve">HyperCard configured with Agent integration. Agent has full claim history dataset.</t>
  </si>
  <si>
    <t xml:space="preserve">1. Open HyperCard by hovering over record ID
2. Click to expand Agent chat
3. Ask follow-up question</t>
  </si>
  <si>
    <t xml:space="preserve">From HyperCard: 'Has this account had any costs over $100,000 in the last 5 years?'</t>
  </si>
  <si>
    <t xml:space="preserve">Agent responds in the HyperCard context using the record ID as implicit filter. Answers the question without requiring user to restate the record ID. Response is accurate.</t>
  </si>
  <si>
    <t xml:space="preserve">HI-06</t>
  </si>
  <si>
    <t xml:space="preserve">HyperCard on Salesforce CRM field</t>
  </si>
  <si>
    <t xml:space="preserve">Salesforce CRM accessible in browser. HyperCard configured for account name.</t>
  </si>
  <si>
    <t xml:space="preserve">1. Open CRM account record
2. Check if account name is highlighted
3. Hover to see HyperCard</t>
  </si>
  <si>
    <t xml:space="preserve">View CRM account: 'ACME Corp'</t>
  </si>
  <si>
    <t xml:space="preserve">Account name highlighted in Salesforce. HyperCard shows Strategy One data for this account: revenue, cost ratio, end date. Pulls data by matching account name.</t>
  </si>
  <si>
    <t xml:space="preserve">HI-07</t>
  </si>
  <si>
    <t xml:space="preserve">Security — data permission enforcement</t>
  </si>
  <si>
    <t xml:space="preserve">User A has access to Region 1 data only. User B has full access. Same HyperCard.</t>
  </si>
  <si>
    <t xml:space="preserve">1. Log in as User A with restricted permissions
2. Hover over transaction in other region
3. Check what HyperCard shows</t>
  </si>
  <si>
    <t xml:space="preserve">User A hovers over transaction from Region 3 region (no permission)</t>
  </si>
  <si>
    <t xml:space="preserve">HyperCard shows only Region 1 data this user is permitted to see. Region 3 transaction data NOT shown. System enforces Strategy One row-level security through HyperIntelligence.</t>
  </si>
  <si>
    <t xml:space="preserve">HI-08</t>
  </si>
  <si>
    <t xml:space="preserve">HyperCard with Mosaic Model</t>
  </si>
  <si>
    <t xml:space="preserve">December 2025 feature: Mosaic Models can power Hyper Cards.</t>
  </si>
  <si>
    <t xml:space="preserve">1. Configure HyperCard using Mosaic Model as data source
2. Navigate to page with keyword
3. Hover and observe card</t>
  </si>
  <si>
    <t xml:space="preserve">HyperCard powered by Mosaic Model for account insights</t>
  </si>
  <si>
    <t xml:space="preserve">HyperCard displays richer multi-dataset insights enabled by Mosaic Model. Can show metrics from multiple connected datasets in one card.</t>
  </si>
  <si>
    <t xml:space="preserve">Universal Agent — Test Cases</t>
  </si>
  <si>
    <t xml:space="preserve">UA-01</t>
  </si>
  <si>
    <t xml:space="preserve">Basic cross-domain question routing</t>
  </si>
  <si>
    <t xml:space="preserve">Universal Agent configured with at least 2 sub-agents: Revenue Agent and Cost Agent.</t>
  </si>
  <si>
    <t xml:space="preserve">1. Open Universal Agent
2. Ask question spanning two domains
3. Observe how routing works</t>
  </si>
  <si>
    <t xml:space="preserve">Which accounts have the highest revenue AND the highest cost ratio?</t>
  </si>
  <si>
    <t xml:space="preserve">Universal Agent correctly identifies: 'highest revenue' → Revenue Agent, 'highest cost ratio' → Cost Agent. Queries both. Returns unified answer combining data from both agents.</t>
  </si>
  <si>
    <t xml:space="preserve">UA-02</t>
  </si>
  <si>
    <t xml:space="preserve">Single question — correct agent routing</t>
  </si>
  <si>
    <t xml:space="preserve">Universal Agent has 3 sub-agents: Revenue, Costs, Finance.</t>
  </si>
  <si>
    <t xml:space="preserve">1. Ask question relevant to one specific domain
2. Verify Universal Agent routes to correct sub-agent only</t>
  </si>
  <si>
    <t xml:space="preserve">How many new category A transactions were written in Q4 2025?</t>
  </si>
  <si>
    <t xml:space="preserve">Universal Agent routes exclusively to Revenue Agent (not Costs or Finance). Returns correct new business transaction count. Routing label or indicator shows which agent was used.</t>
  </si>
  <si>
    <t xml:space="preserve">UA-03</t>
  </si>
  <si>
    <t xml:space="preserve">Multi-domain aggregated answer</t>
  </si>
  <si>
    <t xml:space="preserve">Universal Agent with separate agents for new business and costs.</t>
  </si>
  <si>
    <t xml:space="preserve">1. Ask question requiring data from exactly 2 agents
2. Verify both sources contribute to answer</t>
  </si>
  <si>
    <t xml:space="preserve">How many new transactions were written this month and what was our total costs paid this month?</t>
  </si>
  <si>
    <t xml:space="preserve">Returns two answers in one response: new transaction count from Revenue Agent + costs paid from Cost Agent. Both figures clearly labeled. Not confused.</t>
  </si>
  <si>
    <t xml:space="preserve">UA-04</t>
  </si>
  <si>
    <t xml:space="preserve">Context preservation across agents</t>
  </si>
  <si>
    <t xml:space="preserve">Universal Agent supports multi-turn conversation. Prior query returned cross-agent result.</t>
  </si>
  <si>
    <t xml:space="preserve">1. Ask initial cross-domain question (UA-01)
2. Ask follow-up referencing prior result</t>
  </si>
  <si>
    <t xml:space="preserve">After UA-01: Now filter that list to product line B accounts only</t>
  </si>
  <si>
    <t xml:space="preserve">Universal Agent maintains context across agents: applies the product line B filter to the combined result from the previous question. Does not require user to restate both metrics.</t>
  </si>
  <si>
    <t xml:space="preserve">UA-05</t>
  </si>
  <si>
    <t xml:space="preserve">Universal Agent routing transparency</t>
  </si>
  <si>
    <t xml:space="preserve">Universal Agent has routing explanation or tracing feature.</t>
  </si>
  <si>
    <t xml:space="preserve">1. Ask cross-domain question
2. Check if Universal Agent shows which sub-agents were queried
3. Evaluate transparency of routing</t>
  </si>
  <si>
    <t xml:space="preserve">What is our combined cost ratio and retention count for this quarter?</t>
  </si>
  <si>
    <t xml:space="preserve">Response shows or allows user to see: which agents were queried (e.g. 'Queried: Cost Agent, Renewal Agent'), what each returned, and how combined. Transparent routing builds trust.</t>
  </si>
  <si>
    <t xml:space="preserve">UA-06</t>
  </si>
  <si>
    <t xml:space="preserve">Universal Agent — question for unknown domain</t>
  </si>
  <si>
    <t xml:space="preserve">Universal Agent has limited sub-agents. Question is outside all configured domains.</t>
  </si>
  <si>
    <t xml:space="preserve">1. Ask question no sub-agent covers
2. Observe Universal Agent behavior</t>
  </si>
  <si>
    <t xml:space="preserve">What is the restricted metric by department this year?</t>
  </si>
  <si>
    <t xml:space="preserve">Universal Agent responds gracefully: states it does not have HR/restricted data available. Does NOT hallucinate. Offers to answer related questions it CAN handle.</t>
  </si>
  <si>
    <t xml:space="preserve">UA-07</t>
  </si>
  <si>
    <t xml:space="preserve">Performance — response time for multi-agent query</t>
  </si>
  <si>
    <t xml:space="preserve">Universal Agent configured with 3+ sub-agents.</t>
  </si>
  <si>
    <t xml:space="preserve">1. Ask complex question requiring 3 agents
2. Time the response
3. Note any performance issues</t>
  </si>
  <si>
    <t xml:space="preserve">Show me revenue, cost ratio, and new transaction count for Q4 2025 broken down by product category</t>
  </si>
  <si>
    <t xml:space="preserve">Response returned within 15 seconds for a 3-agent query. No timeout. No partial response. Complete answer with all three metrics.</t>
  </si>
  <si>
    <t xml:space="preserve">Mosaic &amp; Models — Test Cases</t>
  </si>
  <si>
    <t xml:space="preserve">MM-01</t>
  </si>
  <si>
    <t xml:space="preserve">Mosaic Models</t>
  </si>
  <si>
    <t xml:space="preserve">Create AI-enabled dataset</t>
  </si>
  <si>
    <t xml:space="preserve">Workstation access. Existing dataset available in project.</t>
  </si>
  <si>
    <t xml:space="preserve">1. Open Workstation
2. Find dataset
3. Enable for AI
4. Observe auto-generated descriptions</t>
  </si>
  <si>
    <t xml:space="preserve">Enable sales_fact table dataset for AI in Workstation</t>
  </si>
  <si>
    <t xml:space="preserve">Dataset AI-enabled. System auto-generates column descriptions for every column. Descriptions are in business language (not just column names). Takes &lt; 5 minutes.</t>
  </si>
  <si>
    <t xml:space="preserve">MM-02</t>
  </si>
  <si>
    <t xml:space="preserve">Mosaic Model creation from natural language</t>
  </si>
  <si>
    <t xml:space="preserve">Mosaic Studio available. Connected to data source.</t>
  </si>
  <si>
    <t xml:space="preserve">1. Open Mosaic Studio
2. Describe data model in plain English
3. Review generated model</t>
  </si>
  <si>
    <t xml:space="preserve">Describe model: 'Business revenue data with transaction, account, agent, and date dimensions'</t>
  </si>
  <si>
    <t xml:space="preserve">Mosaic generates data model structure with: fact table (revenue), dimension tables (transaction, account, sales rep, date), relationships between them. Model is editable after generation.</t>
  </si>
  <si>
    <t xml:space="preserve">MM-03</t>
  </si>
  <si>
    <t xml:space="preserve">AI-native time intelligence — period over period</t>
  </si>
  <si>
    <t xml:space="preserve">Mosaic Model with date dimension. Time intelligence feature enabled (Dec 2025).</t>
  </si>
  <si>
    <t xml:space="preserve">1. In Mosaic or Agent powered by Mosaic, request YoY metric
2. Check that correct periods calculated</t>
  </si>
  <si>
    <t xml:space="preserve">Create a metric for year-over-year revenue growth</t>
  </si>
  <si>
    <t xml:space="preserve">Mosaic generates correct period-over-period calculation without manual metric building. YoY formula correctly handles year boundary. Metric available in all connected agents.</t>
  </si>
  <si>
    <t xml:space="preserve">MM-04</t>
  </si>
  <si>
    <t xml:space="preserve">Mosaic Model linking — cross-model attributes</t>
  </si>
  <si>
    <t xml:space="preserve">Two separate Mosaic Models exist: Revenue Model and Cost Model.</t>
  </si>
  <si>
    <t xml:space="preserve">1. Open Mosaic Model management
2. Create link between shared attribute (Account ID)
3. Test cross-model query</t>
  </si>
  <si>
    <t xml:space="preserve">Link Account ID between Revenue Model and Cost Model</t>
  </si>
  <si>
    <t xml:space="preserve">Models linked via Account ID. Agent powered by linked models can answer questions spanning both: 'Show me revenue and cost history for account X' — pulling from both models via the link.</t>
  </si>
  <si>
    <t xml:space="preserve">MM-05</t>
  </si>
  <si>
    <t xml:space="preserve">Mosaic Model as Agent dataset</t>
  </si>
  <si>
    <t xml:space="preserve">Mosaic Model created and AI-enabled. Agent creation screen available.</t>
  </si>
  <si>
    <t xml:space="preserve">1. Create new Agent
2. Select Mosaic Model as dataset source
3. Ask question through agent</t>
  </si>
  <si>
    <t xml:space="preserve">Create Agent using Mosaic Revenue Model as dataset</t>
  </si>
  <si>
    <t xml:space="preserve">Agent successfully created using Mosaic Model. Questions through this agent use the business logic and relationships defined in the Mosaic Model. Results match expected output.</t>
  </si>
  <si>
    <t xml:space="preserve">MM-06</t>
  </si>
  <si>
    <t xml:space="preserve">Mosaic Model for HyperCard — December 2025 feature</t>
  </si>
  <si>
    <t xml:space="preserve">Mosaic Model created. HyperIntelligence configured.</t>
  </si>
  <si>
    <t xml:space="preserve">1. Configure HyperCard to use Mosaic Model as data source
2. Hover on keyword
3. Observe richer card content</t>
  </si>
  <si>
    <t xml:space="preserve">Configure HyperCard for Account Name using Mosaic Model with cross-dataset insights</t>
  </si>
  <si>
    <t xml:space="preserve">HyperCard powered by Mosaic Model shows richer insights than standard dataset card: can display metrics from multiple linked datasets in one card (e.g. revenue + costs + renewals all together).</t>
  </si>
  <si>
    <t xml:space="preserve">MM-07</t>
  </si>
  <si>
    <t xml:space="preserve">Semantic consistency across agents</t>
  </si>
  <si>
    <t xml:space="preserve">Same Mosaic Model used by two different Agents: Agent A and Agent B.</t>
  </si>
  <si>
    <t xml:space="preserve">1. Ask identical question to Agent A
2. Ask identical question to Agent B
3. Compare results</t>
  </si>
  <si>
    <t xml:space="preserve">Ask both agents: 'What is our cost ratio for product line A in 2025?'</t>
  </si>
  <si>
    <t xml:space="preserve">Both agents return the SAME number for the same question. Mosaic semantic layer ensures one version of the truth. No inconsistency between agents on the same metric.</t>
  </si>
  <si>
    <t xml:space="preserve">MM-08</t>
  </si>
  <si>
    <t xml:space="preserve">Custom business term annotation</t>
  </si>
  <si>
    <t xml:space="preserve">Mosaic Model has editable column descriptions.</t>
  </si>
  <si>
    <t xml:space="preserve">1. Add business term definition to column description
2. Ask Agent question using the business term</t>
  </si>
  <si>
    <t xml:space="preserve">Add: 'rev_amt = Annualized Total Revenue (not earned). Excludes adjustments.' Then ask: 'What is our total revenue?'</t>
  </si>
  <si>
    <t xml:space="preserve">Agent uses the annotated definition. Returns total revenue (not earned). If user asks for recognized revenue, Agent differentiates correctly based on the annotation.</t>
  </si>
  <si>
    <t xml:space="preserve">Sentinel &amp; Govern — Test Cases</t>
  </si>
  <si>
    <t xml:space="preserve">SG-01</t>
  </si>
  <si>
    <t xml:space="preserve">Mosaic Sentinel</t>
  </si>
  <si>
    <t xml:space="preserve">Audit log — every AI query recorded</t>
  </si>
  <si>
    <t xml:space="preserve">Mosaic Sentinel deployed and configured. Audit logging enabled.</t>
  </si>
  <si>
    <t xml:space="preserve">1. Ask any Agent a question
2. Open Sentinel audit log
3. Verify query is recorded</t>
  </si>
  <si>
    <t xml:space="preserve">Ask Agent: 'What is our Q4 cost ratio?' then check Sentinel audit trail</t>
  </si>
  <si>
    <t xml:space="preserve">Audit log entry created for the query showing: user who asked, timestamp, question text, which agent was used, which datasets queried, result summary. Tamper-proof.</t>
  </si>
  <si>
    <t xml:space="preserve">SG-02</t>
  </si>
  <si>
    <t xml:space="preserve">Row-level security enforcement in AI responses</t>
  </si>
  <si>
    <t xml:space="preserve">User A has permission for Region 1 only. Agent configured with full dataset.</t>
  </si>
  <si>
    <t xml:space="preserve">1. Log in as User A
2. Ask Agent for national total
3. Verify response only shows permitted data</t>
  </si>
  <si>
    <t xml:space="preserve">User A asks: 'What is our total total revenue across all regions?'</t>
  </si>
  <si>
    <t xml:space="preserve">Agent returns total for Region 1 only (User A's permitted scope). Does NOT show national total or other regions. Sentinel / row-level security enforced through the AI layer.</t>
  </si>
  <si>
    <t xml:space="preserve">SG-03</t>
  </si>
  <si>
    <t xml:space="preserve">Real-time anomaly detection alert</t>
  </si>
  <si>
    <t xml:space="preserve">Sentinel anomaly detection enabled. Baseline data access patterns established.</t>
  </si>
  <si>
    <t xml:space="preserve">1. Perform an unusual data access pattern (e.g. bulk query of sensitive fields)
2. Check Sentinel for alert</t>
  </si>
  <si>
    <t xml:space="preserve">Run 50 rapid queries on PII fields in quick succession</t>
  </si>
  <si>
    <t xml:space="preserve">Sentinel detects anomalous pattern and generates alert. Alert includes: user, time, queries involved, risk score. Recommended action shown.</t>
  </si>
  <si>
    <t xml:space="preserve">SG-04</t>
  </si>
  <si>
    <t xml:space="preserve">GDPR compliance tracking</t>
  </si>
  <si>
    <t xml:space="preserve">Sentinel GDPR automation enabled. Dataset contains PII (name, address, DOB).</t>
  </si>
  <si>
    <t xml:space="preserve">1. Access report containing PII fields
2. Check Sentinel for GDPR log entry
3. Review data subject record</t>
  </si>
  <si>
    <t xml:space="preserve">Access customer PII data through any Agent or dossier</t>
  </si>
  <si>
    <t xml:space="preserve">Sentinel records the PII access with: data subject identifier, fields accessed, purpose, user, timestamp. Supports GDPR Article 30 records.</t>
  </si>
  <si>
    <t xml:space="preserve">SG-05</t>
  </si>
  <si>
    <t xml:space="preserve">Tamper-proof audit trail</t>
  </si>
  <si>
    <t xml:space="preserve">Audit log has been written. Admin access available.</t>
  </si>
  <si>
    <t xml:space="preserve">1. Attempt to delete or modify an audit log entry
2. Attempt through database or UI</t>
  </si>
  <si>
    <t xml:space="preserve">Try to delete or edit a Sentinel audit log entry</t>
  </si>
  <si>
    <t xml:space="preserve">System prevents deletion or modification of audit log entries. Entries are immutable. Any attempt to modify is itself logged as a security event.</t>
  </si>
  <si>
    <t xml:space="preserve">SG-06</t>
  </si>
  <si>
    <t xml:space="preserve">Usage intelligence — model consumption tracking</t>
  </si>
  <si>
    <t xml:space="preserve">Sentinel Usage Intelligence enabled. Multiple agents in use for &gt; 1 week.</t>
  </si>
  <si>
    <t xml:space="preserve">1. Open Sentinel usage dashboard
2. Review model and agent consumption metrics</t>
  </si>
  <si>
    <t xml:space="preserve">View which agents and Mosaic models are used most frequently</t>
  </si>
  <si>
    <t xml:space="preserve">Usage Intelligence shows: query volume per agent, most-used datasets, most-asked question categories, user adoption rate. Helps prioritize governance effort on high-use models.</t>
  </si>
  <si>
    <t xml:space="preserve">Voice &amp; MCP — Test Cases</t>
  </si>
  <si>
    <t xml:space="preserve">VM-01</t>
  </si>
  <si>
    <t xml:space="preserve">AI Voice</t>
  </si>
  <si>
    <t xml:space="preserve">Basic voice query — web browser</t>
  </si>
  <si>
    <t xml:space="preserve">AI Voice feature enabled in Strategy One. Microphone permission granted.</t>
  </si>
  <si>
    <t xml:space="preserve">1. Open Strategy Agent in browser
2. Click voice input button
3. Speak query
4. Observe response</t>
  </si>
  <si>
    <t xml:space="preserve">Speak: 'Show me our total revenue for Q4 2025'</t>
  </si>
  <si>
    <t xml:space="preserve">Voice converted to text accurately. Agent responds with correct answer and visualization. Response matches what typed query would produce.</t>
  </si>
  <si>
    <t xml:space="preserve">VM-02</t>
  </si>
  <si>
    <t xml:space="preserve">Voice query on mobile app</t>
  </si>
  <si>
    <t xml:space="preserve">Strategy One mobile app installed. AI Voice enabled. December 2025 release.</t>
  </si>
  <si>
    <t xml:space="preserve">1. Open Strategy mobile app
2. Navigate to Agent
3. Use voice input
4. Observe</t>
  </si>
  <si>
    <t xml:space="preserve">Speak on mobile: 'What is our cost ratio for product line A this year?'</t>
  </si>
  <si>
    <t xml:space="preserve">Voice recognized accurately on mobile device. Response delivered in mobile-optimized format. Chart visible on phone screen. Hands-free capability confirmed.</t>
  </si>
  <si>
    <t xml:space="preserve">VM-03</t>
  </si>
  <si>
    <t xml:space="preserve">Voice accuracy — business terminology</t>
  </si>
  <si>
    <t xml:space="preserve">AI Voice enabled. Test with domain-specific terms.</t>
  </si>
  <si>
    <t xml:space="preserve">1. Speak a query containing business-specific terms
2. Check transcription accuracy</t>
  </si>
  <si>
    <t xml:space="preserve">Speak: 'Show me cost ratio for product category X in Region 2'</t>
  </si>
  <si>
    <t xml:space="preserve">Business terms transcribed correctly: 'product category X', 'cost ratio', 'Region 2'. No misinterpretation of domain terms. Query executes correctly.</t>
  </si>
  <si>
    <t xml:space="preserve">VM-04</t>
  </si>
  <si>
    <t xml:space="preserve">MCP Integration</t>
  </si>
  <si>
    <t xml:space="preserve">MCP connection to Strategy Agents</t>
  </si>
  <si>
    <t xml:space="preserve">MCP (Model Context Protocol) integration configured in December 2025 release.</t>
  </si>
  <si>
    <t xml:space="preserve">1. Configure MCP connection in Strategy One settings
2. Connect external LLM (Claude or Copilot)
3. Test Agent discovery</t>
  </si>
  <si>
    <t xml:space="preserve">Connect Claude via MCP to discover and interact with Strategy Agents</t>
  </si>
  <si>
    <t xml:space="preserve">External LLM successfully discovers Strategy Agents via MCP. Can list available agents. Can route questions to appropriate agent. Returns Strategy data through the external LLM interface.</t>
  </si>
  <si>
    <t xml:space="preserve">VM-05</t>
  </si>
  <si>
    <t xml:space="preserve">MCP — real-time agent interaction from Copilot</t>
  </si>
  <si>
    <t xml:space="preserve">MCP configured. Microsoft Copilot set up as MCP client.</t>
  </si>
  <si>
    <t xml:space="preserve">1. Open Microsoft Copilot (or other MCP client)
2. Ask question that should route to Strategy Agent
3. Observe response</t>
  </si>
  <si>
    <t xml:space="preserve">Ask in Copilot: 'What is our product line A cost ratio from Strategy?'</t>
  </si>
  <si>
    <t xml:space="preserve">Copilot routes to Strategy Agent via MCP. Returns answer with Strategy data. User does not need to leave Copilot. Cross-platform intelligence confirmed.</t>
  </si>
  <si>
    <t xml:space="preserve">VM-06</t>
  </si>
  <si>
    <t xml:space="preserve">MCP security — permissions respected</t>
  </si>
  <si>
    <t xml:space="preserve">User with limited data access. MCP connection established.</t>
  </si>
  <si>
    <t xml:space="preserve">1. Connect external LLM via MCP with limited-permission user credentials
2. Ask for data outside permissions</t>
  </si>
  <si>
    <t xml:space="preserve">Ask via MCP for data the user is not permitted to see</t>
  </si>
  <si>
    <t xml:space="preserve">MCP connection respects Strategy One user permissions. External LLM cannot access data the connected user is not permitted to see. Security boundary is enforced through MCP.</t>
  </si>
  <si>
    <t xml:space="preserve">VM-07</t>
  </si>
  <si>
    <t xml:space="preserve">Voice — multi-step question</t>
  </si>
  <si>
    <t xml:space="preserve">AI Voice enabled. Agent supports multi-turn conversation.</t>
  </si>
  <si>
    <t xml:space="preserve">1. Ask initial voice question
2. Follow up with second voice question referencing first
3. Check context maintained</t>
  </si>
  <si>
    <t xml:space="preserve">Voice: 'Show me revenue by region' then 'Now sort by highest cost ratio'</t>
  </si>
  <si>
    <t xml:space="preserve">Agent maintains conversation context through voice queries. Second voice question applies correctly to result of first query without needing full restatement.</t>
  </si>
  <si>
    <t xml:space="preserve">Observations, Issues &amp; Workarounds Log</t>
  </si>
  <si>
    <t xml:space="preserve">Date</t>
  </si>
  <si>
    <t xml:space="preserve">Tester</t>
  </si>
  <si>
    <t xml:space="preserve">Observation / Issue</t>
  </si>
  <si>
    <t xml:space="preserve">Impact on Use Case</t>
  </si>
  <si>
    <t xml:space="preserve">Workaround Found?</t>
  </si>
  <si>
    <t xml:space="preserve">Workaround Description</t>
  </si>
  <si>
    <t xml:space="preserve">Action Required</t>
  </si>
  <si>
    <t xml:space="preserve">Agent does not recognize 'active book' — returns error asking for clarification. Business term annotation needed.</t>
  </si>
  <si>
    <t xml:space="preserve">Business users use shorthand regularly. Will need annotation layer setup.</t>
  </si>
  <si>
    <t xml:space="preserve">Yes</t>
  </si>
  <si>
    <t xml:space="preserve">Add 'active book = records with status IN (ACTIVE, RENEWED)' to Mosaic model description</t>
  </si>
  <si>
    <t xml:space="preserve">Admin to add business term annotations to Mosaic dataset</t>
  </si>
  <si>
    <t xml:space="preserve">How To Use This Tracker</t>
  </si>
  <si>
    <t xml:space="preserve">STEP 1 — SETUP</t>
  </si>
  <si>
    <t xml:space="preserve">  •  Fill in Tester Info on the Dashboard tab (your name, environment, date)</t>
  </si>
  <si>
    <t xml:space="preserve">  •  Make sure you have the December 2025 Strategy One (Workstation) version installed</t>
  </si>
  <si>
    <t xml:space="preserve">  •  Confirm you have at least one AI-enabled dataset in your project before starting</t>
  </si>
  <si>
    <t xml:space="preserve">  •  For HyperIntelligence tests: install Chrome or Edge extension first (HI-01)</t>
  </si>
  <si>
    <t xml:space="preserve">  •  For Voice tests: ensure microphone permission granted in browser</t>
  </si>
  <si>
    <t xml:space="preserve">  •  For MCP tests: MCP connection must be configured by admin</t>
  </si>
  <si>
    <t xml:space="preserve">STEP 2 — RUN TESTS</t>
  </si>
  <si>
    <t xml:space="preserve">  •  Go to each feature tab (🤖 Agents, 📊 Auto Dashboard, etc.)</t>
  </si>
  <si>
    <t xml:space="preserve">  •  Read Pre-conditions column first — skip tests where pre-conditions are not met, mark as BLOCKED</t>
  </si>
  <si>
    <t xml:space="preserve">  •  Follow the Test Steps exactly as written</t>
  </si>
  <si>
    <t xml:space="preserve">  •  Use the Input / Query Text as written — do not paraphrase the query</t>
  </si>
  <si>
    <t xml:space="preserve">  •  Record the Actual Result / Observation in column H — be specific, not just 'it worked'</t>
  </si>
  <si>
    <t xml:space="preserve">  •  Set Status using dropdown in column I: PASS / FAIL / PARTIAL / NOT UP TO MARK / BLOCKED / PENDING</t>
  </si>
  <si>
    <t xml:space="preserve">STATUS DEFINITIONS — BE SPECIFIC</t>
  </si>
  <si>
    <t xml:space="preserve">  •  PASS = Feature works exactly as expected. Acceptance criteria fully met.</t>
  </si>
  <si>
    <t xml:space="preserve">  •  FAIL = Feature does not work. Returns wrong answer, error, or no response.</t>
  </si>
  <si>
    <t xml:space="preserve">  •  PARTIAL = Feature responds but output is incomplete, partially correct, or requires reformulation to work.</t>
  </si>
  <si>
    <t xml:space="preserve">  •  NOT UP TO MARK = Feature works technically but quality/accuracy is below acceptable threshold (e.g. narrative too generic, wrong chart type, numbers rounded incorrectly)</t>
  </si>
  <si>
    <t xml:space="preserve">  •  BLOCKED = Cannot test because a pre-condition is missing (extension not installed, config not done, license issue).</t>
  </si>
  <si>
    <t xml:space="preserve">  •  PENDING = Not tested yet.</t>
  </si>
  <si>
    <t xml:space="preserve">STEP 3 — RECORD ISSUES</t>
  </si>
  <si>
    <t xml:space="preserve">  •  For any FAIL, PARTIAL, or NOT UP TO MARK: go to 📋 Observations Log tab</t>
  </si>
  <si>
    <t xml:space="preserve">  •  Record the specific issue with as much detail as possible</t>
  </si>
  <si>
    <t xml:space="preserve">  •  Note whether a workaround exists and what it is</t>
  </si>
  <si>
    <t xml:space="preserve">  •  Note the business impact — which revenue/costs workflow is affected</t>
  </si>
  <si>
    <t xml:space="preserve">  •  These observations are the foundation for the QueryMind gap analysis</t>
  </si>
  <si>
    <t xml:space="preserve">WHAT TO WATCH FOR — DOMAIN SPECIFIC</t>
  </si>
  <si>
    <t xml:space="preserve">  •  Does the Agent understand your business terminology without annotation? (cost ratio, total revenue, recognized revenue, incurred cost cost, direct overhead, indirect overhead, retention rate)</t>
  </si>
  <si>
    <t xml:space="preserve">  •  Does Auto Dashboard pick the RIGHT chart type? (cost ratio should NOT be a pie chart)</t>
  </si>
  <si>
    <t xml:space="preserve">  •  Do narratives state percentages correctly? (73% not 0.73)</t>
  </si>
  <si>
    <t xml:space="preserve">  •  Does the AI Explainability feature show the metric formula? (critical for regulatory trust)</t>
  </si>
  <si>
    <t xml:space="preserve">  •  Does multi-turn conversation maintain context across business questions?</t>
  </si>
  <si>
    <t xml:space="preserve">  •  Does Universal Agent correctly route costs questions to cost agent vs business questions to revenue agent?</t>
  </si>
  <si>
    <t xml:space="preserve">RED FLAGS — DOCUMENT IMMEDIATELY</t>
  </si>
  <si>
    <t xml:space="preserve">  •  Agent returns a number that does not match the data in the chart — AI hallucination</t>
  </si>
  <si>
    <t xml:space="preserve">  •  Narrative states wrong period (e.g. says 'this year' but shows prior year data)</t>
  </si>
  <si>
    <t xml:space="preserve">  •  Cost ratio calculated incorrectly (wrong numerator or denominator used in formula)</t>
  </si>
  <si>
    <t xml:space="preserve">  •  User without access can see restricted data through the AI interface</t>
  </si>
  <si>
    <t xml:space="preserve">  •  Agent confident about a metric that doesn't exist in the dataset</t>
  </si>
  <si>
    <t xml:space="preserve">  •  Auto Dashboard generates SQL that scans full table — performance issue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</si>
</sst>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5C"/>
        <bgColor rgb="FF1E293B"/>
      </patternFill>
    </fill>
    <fill>
      <patternFill patternType="solid">
        <fgColor rgb="FF0891B2"/>
        <bgColor rgb="FF059669"/>
      </patternFill>
    </fill>
    <fill>
      <patternFill patternType="solid">
        <fgColor rgb="FF059669"/>
        <bgColor rgb="FF0891B2"/>
      </patternFill>
    </fill>
    <fill>
      <patternFill patternType="solid">
        <fgColor rgb="FFDC2626"/>
        <bgColor rgb="FF993300"/>
      </patternFill>
    </fill>
    <fill>
      <patternFill patternType="solid">
        <fgColor rgb="FFD97706"/>
        <bgColor rgb="FFFF9900"/>
      </patternFill>
    </fill>
    <fill>
      <patternFill patternType="solid">
        <fgColor rgb="FF475569"/>
        <bgColor rgb="FF6B7280"/>
      </patternFill>
    </fill>
    <fill>
      <patternFill patternType="solid">
        <fgColor rgb="FF1D4ED8"/>
        <bgColor rgb="FF3366FF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FFEF3"/>
      </patternFill>
    </fill>
    <fill>
      <patternFill patternType="solid">
        <fgColor rgb="FF7C3AED"/>
        <bgColor rgb="FF993366"/>
      </patternFill>
    </fill>
    <fill>
      <patternFill patternType="solid">
        <fgColor rgb="FF6B7280"/>
        <bgColor rgb="FF808080"/>
      </patternFill>
    </fill>
    <fill>
      <patternFill patternType="solid">
        <fgColor rgb="FFEFF6FF"/>
        <bgColor rgb="FFF1F5F9"/>
      </patternFill>
    </fill>
    <fill>
      <patternFill patternType="solid">
        <fgColor rgb="FFFFFEF3"/>
        <bgColor rgb="FFFFFFFF"/>
      </patternFill>
    </fill>
    <fill>
      <patternFill patternType="solid">
        <fgColor rgb="FFFEF9C3"/>
        <bgColor rgb="FFFEF3C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0891B2"/>
      </left>
      <right style="thin">
        <color rgb="FF0891B2"/>
      </right>
      <top style="thin">
        <color rgb="FF0891B2"/>
      </top>
      <bottom style="thin">
        <color rgb="FF0891B2"/>
      </bottom>
      <diagonal/>
    </border>
    <border diagonalUp="false" diagonalDown="false">
      <left style="hair">
        <color rgb="FFCBD5E1"/>
      </left>
      <right/>
      <top style="hair">
        <color rgb="FFCBD5E1"/>
      </top>
      <bottom style="hair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059669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97706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7C3AED"/>
      </font>
      <fill>
        <patternFill>
          <bgColor rgb="FFEDE9FE"/>
        </patternFill>
      </fill>
    </dxf>
    <dxf>
      <font>
        <name val="Arial"/>
        <charset val="1"/>
        <family val="0"/>
        <b val="1"/>
        <color rgb="FF475569"/>
      </font>
      <fill>
        <patternFill>
          <bgColor rgb="FFCBD5E1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EDE9FE"/>
      <rgbColor rgb="FF808080"/>
      <rgbColor rgb="FF9999FF"/>
      <rgbColor rgb="FF7C3AED"/>
      <rgbColor rgb="FFFEF9C3"/>
      <rgbColor rgb="FFEFF6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F1F5F9"/>
      <rgbColor rgb="FFD1FAE5"/>
      <rgbColor rgb="FFFEF3C7"/>
      <rgbColor rgb="FFFFFEF3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1B3A5C"/>
      <rgbColor rgb="FF339966"/>
      <rgbColor rgb="FF003300"/>
      <rgbColor rgb="FF333300"/>
      <rgbColor rgb="FF993300"/>
      <rgbColor rgb="FF993366"/>
      <rgbColor rgb="FF47556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1"/>
    <col collapsed="false" customWidth="true" hidden="false" outlineLevel="0" max="7" min="4" style="0" width="9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28"/>
  </cols>
  <sheetData>
    <row r="1" customFormat="false" ht="6" hidden="false" customHeight="true" outlineLevel="0" collapsed="false"/>
    <row r="2" customFormat="false" ht="1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21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3" t="s">
        <v>2</v>
      </c>
      <c r="B6" s="3"/>
      <c r="C6" s="4" t="s">
        <v>3</v>
      </c>
      <c r="D6" s="4"/>
      <c r="E6" s="5" t="s">
        <v>4</v>
      </c>
      <c r="F6" s="5"/>
      <c r="G6" s="6" t="s">
        <v>5</v>
      </c>
      <c r="H6" s="6"/>
      <c r="I6" s="7" t="s">
        <v>6</v>
      </c>
      <c r="J6" s="7"/>
      <c r="K6" s="8" t="s">
        <v>7</v>
      </c>
      <c r="L6" s="8"/>
    </row>
    <row r="7" customFormat="false" ht="43.5" hidden="false" customHeight="true" outlineLevel="0" collapsed="false">
      <c r="A7" s="9" t="n">
        <f aca="false">COUNTA('🤖 Agents'!A3:A100)+COUNTA('📊 Auto Dashboard'!A3:A50)+COUNTA('📝 Narratives &amp; Summary'!A3:A50)+COUNTA('🔮 HyperIntelligence'!A3:A30)+COUNTA('🌐 Universal Agent'!A3:A30)+COUNTA('📄 Mosaic &amp; Models'!A3:A30)+COUNTA('🏛️ Sentinel &amp; Govern'!A3:A20)+COUNTA('🔊 Voice &amp; MCP'!A3:A20)</f>
        <v>69</v>
      </c>
      <c r="B7" s="9"/>
      <c r="C7" s="10" t="n">
        <f aca="false">COUNTIF('🤖 Agents'!I3:I100,"PASS")+COUNTIF('📊 Auto Dashboard'!I3:I50,"PASS")+COUNTIF('📝 Narratives &amp; Summary'!I3:I50,"PASS")+COUNTIF('🔮 HyperIntelligence'!I3:I30,"PASS")+COUNTIF('🌐 Universal Agent'!I3:I30,"PASS")+COUNTIF('📄 Mosaic &amp; Models'!I3:I30,"PASS")+COUNTIF('🏛️ Sentinel &amp; Govern'!I3:I20,"PASS")+COUNTIF('🔊 Voice &amp; MCP'!I3:I20,"PASS")</f>
        <v>0</v>
      </c>
      <c r="D7" s="10"/>
      <c r="E7" s="11" t="n">
        <f aca="false">COUNTIF('🤖 Agents'!I3:I100,"FAIL")+COUNTIF('📊 Auto Dashboard'!I3:I50,"FAIL")+COUNTIF('📝 Narratives &amp; Summary'!I3:I50,"FAIL")+COUNTIF('🔮 HyperIntelligence'!I3:I30,"FAIL")+COUNTIF('🌐 Universal Agent'!I3:I30,"FAIL")+COUNTIF('📄 Mosaic &amp; Models'!I3:I30,"FAIL")+COUNTIF('🏛️ Sentinel &amp; Govern'!I3:I20,"FAIL")+COUNTIF('🔊 Voice &amp; MCP'!I3:I20,"FAIL")</f>
        <v>0</v>
      </c>
      <c r="F7" s="11"/>
      <c r="G7" s="12" t="n">
        <f aca="false">COUNTIF('🤖 Agents'!I3:I100,"PARTIAL")+COUNTIF('📊 Auto Dashboard'!I3:I50,"PARTIAL")+COUNTIF('📝 Narratives &amp; Summary'!I3:I50,"PARTIAL")+COUNTIF('🔮 HyperIntelligence'!I3:I30,"PARTIAL")+COUNTIF('🌐 Universal Agent'!I3:I30,"PARTIAL")+COUNTIF('📄 Mosaic &amp; Models'!I3:I30,"PARTIAL")+COUNTIF('🏛️ Sentinel &amp; Govern'!I3:I20,"PARTIAL")+COUNTIF('🔊 Voice &amp; MCP'!I3:I20,"PARTIAL")</f>
        <v>0</v>
      </c>
      <c r="H7" s="12"/>
      <c r="I7" s="13" t="n">
        <f aca="false">COUNTIF('🤖 Agents'!I3:I100,"PENDING")+COUNTIF('📊 Auto Dashboard'!I3:I50,"PENDING")+COUNTIF('📝 Narratives &amp; Summary'!I3:I50,"PENDING")+COUNTIF('🔮 HyperIntelligence'!I3:I30,"PENDING")+COUNTIF('🌐 Universal Agent'!I3:I30,"PENDING")+COUNTIF('📄 Mosaic &amp; Models'!I3:I30,"PENDING")+COUNTIF('🏛️ Sentinel &amp; Govern'!I3:I20,"PENDING")+COUNTIF('🔊 Voice &amp; MCP'!I3:I20,"PENDING")</f>
        <v>69</v>
      </c>
      <c r="J7" s="13"/>
      <c r="K7" s="14" t="str">
        <f aca="false">IFERROR(C7/(C7+E7+G7)*100,0)&amp;"%"</f>
        <v>0%</v>
      </c>
      <c r="L7" s="14"/>
    </row>
    <row r="8" customFormat="false" ht="9.75" hidden="false" customHeight="true" outlineLevel="0" collapsed="false">
      <c r="A8" s="15"/>
      <c r="B8" s="15"/>
      <c r="C8" s="16"/>
      <c r="D8" s="16"/>
      <c r="E8" s="17"/>
      <c r="F8" s="17"/>
      <c r="G8" s="18"/>
      <c r="H8" s="18"/>
      <c r="I8" s="19"/>
      <c r="J8" s="19"/>
      <c r="K8" s="20"/>
      <c r="L8" s="20"/>
    </row>
    <row r="10" customFormat="false" ht="7.5" hidden="false" customHeight="true" outlineLevel="0" collapsed="false"/>
    <row r="11" customFormat="false" ht="27.75" hidden="false" customHeight="true" outlineLevel="0" collapsed="false">
      <c r="A11" s="21" t="s">
        <v>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customFormat="false" ht="21.75" hidden="false" customHeight="true" outlineLevel="0" collapsed="false">
      <c r="A12" s="22" t="s">
        <v>9</v>
      </c>
      <c r="B12" s="22" t="s">
        <v>10</v>
      </c>
      <c r="C12" s="22" t="s">
        <v>11</v>
      </c>
      <c r="D12" s="22" t="s">
        <v>12</v>
      </c>
      <c r="E12" s="22" t="s">
        <v>13</v>
      </c>
      <c r="F12" s="22" t="s">
        <v>14</v>
      </c>
      <c r="G12" s="22" t="s">
        <v>15</v>
      </c>
      <c r="H12" s="22" t="s">
        <v>16</v>
      </c>
      <c r="I12" s="22" t="s">
        <v>17</v>
      </c>
      <c r="J12" s="22" t="s">
        <v>18</v>
      </c>
    </row>
    <row r="13" customFormat="false" ht="19.5" hidden="false" customHeight="true" outlineLevel="0" collapsed="false">
      <c r="A13" s="23" t="s">
        <v>19</v>
      </c>
      <c r="B13" s="24" t="s">
        <v>20</v>
      </c>
      <c r="C13" s="24" t="n">
        <f aca="false">COUNTA('🤖 Agents'!A3:A100)</f>
        <v>15</v>
      </c>
      <c r="D13" s="24" t="n">
        <f aca="false">COUNTIF('🤖 Agents'!I3:I100,"PASS")</f>
        <v>0</v>
      </c>
      <c r="E13" s="24" t="n">
        <f aca="false">COUNTIF('🤖 Agents'!I3:I100,"FAIL")</f>
        <v>0</v>
      </c>
      <c r="F13" s="24" t="n">
        <f aca="false">COUNTIF('🤖 Agents'!I3:I100,"PARTIAL")</f>
        <v>0</v>
      </c>
      <c r="G13" s="24" t="n">
        <f aca="false">COUNTIF('🤖 Agents'!I3:I100,"PENDING")</f>
        <v>15</v>
      </c>
      <c r="H13" s="25" t="n">
        <f aca="false">IFERROR(D13/(C13)*100,0)</f>
        <v>0</v>
      </c>
      <c r="I13" s="24" t="str">
        <f aca="false">IF(G13=C13,"⏳ Not Started",IF(E13&gt;0,"🔴 Issues Found",IF(F13&gt;0,"🟡 Partially Working","🟢 All Passing")))</f>
        <v>⏳ Not Started</v>
      </c>
      <c r="J13" s="26" t="s">
        <v>21</v>
      </c>
    </row>
    <row r="14" customFormat="false" ht="19.5" hidden="false" customHeight="true" outlineLevel="0" collapsed="false">
      <c r="A14" s="27" t="s">
        <v>22</v>
      </c>
      <c r="B14" s="28" t="s">
        <v>23</v>
      </c>
      <c r="C14" s="28" t="n">
        <f aca="false">COUNTA('📊 Auto Dashboard'!A3:A50)</f>
        <v>8</v>
      </c>
      <c r="D14" s="28" t="n">
        <f aca="false">COUNTIF('📊 Auto Dashboard'!I3:I50,"PASS")</f>
        <v>0</v>
      </c>
      <c r="E14" s="28" t="n">
        <f aca="false">COUNTIF('📊 Auto Dashboard'!I3:I50,"FAIL")</f>
        <v>0</v>
      </c>
      <c r="F14" s="28" t="n">
        <f aca="false">COUNTIF('📊 Auto Dashboard'!I3:I50,"PARTIAL")</f>
        <v>0</v>
      </c>
      <c r="G14" s="28" t="n">
        <f aca="false">COUNTIF('📊 Auto Dashboard'!I3:I50,"PENDING")</f>
        <v>8</v>
      </c>
      <c r="H14" s="29" t="n">
        <f aca="false">IFERROR(D14/(C14)*100,0)</f>
        <v>0</v>
      </c>
      <c r="I14" s="28" t="str">
        <f aca="false">IF(G14=C14,"⏳ Not Started",IF(E14&gt;0,"🔴 Issues Found",IF(F14&gt;0,"🟡 Partially Working","🟢 All Passing")))</f>
        <v>⏳ Not Started</v>
      </c>
      <c r="J14" s="30" t="s">
        <v>24</v>
      </c>
    </row>
    <row r="15" customFormat="false" ht="19.5" hidden="false" customHeight="true" outlineLevel="0" collapsed="false">
      <c r="A15" s="23" t="s">
        <v>25</v>
      </c>
      <c r="B15" s="24" t="s">
        <v>26</v>
      </c>
      <c r="C15" s="24" t="n">
        <f aca="false">COUNTA('📝 Narratives &amp; Summary'!A3:A50)</f>
        <v>10</v>
      </c>
      <c r="D15" s="24" t="n">
        <f aca="false">COUNTIF('📝 Narratives &amp; Summary'!I3:I50,"PASS")</f>
        <v>0</v>
      </c>
      <c r="E15" s="24" t="n">
        <f aca="false">COUNTIF('📝 Narratives &amp; Summary'!I3:I50,"FAIL")</f>
        <v>0</v>
      </c>
      <c r="F15" s="24" t="n">
        <f aca="false">COUNTIF('📝 Narratives &amp; Summary'!I3:I50,"PARTIAL")</f>
        <v>0</v>
      </c>
      <c r="G15" s="24" t="n">
        <f aca="false">COUNTIF('📝 Narratives &amp; Summary'!I3:I50,"PENDING")</f>
        <v>10</v>
      </c>
      <c r="H15" s="25" t="n">
        <f aca="false">IFERROR(D15/(C15)*100,0)</f>
        <v>0</v>
      </c>
      <c r="I15" s="24" t="str">
        <f aca="false">IF(G15=C15,"⏳ Not Started",IF(E15&gt;0,"🔴 Issues Found",IF(F15&gt;0,"🟡 Partially Working","🟢 All Passing")))</f>
        <v>⏳ Not Started</v>
      </c>
      <c r="J15" s="26" t="s">
        <v>27</v>
      </c>
    </row>
    <row r="16" customFormat="false" ht="19.5" hidden="false" customHeight="true" outlineLevel="0" collapsed="false">
      <c r="A16" s="27" t="s">
        <v>28</v>
      </c>
      <c r="B16" s="28" t="s">
        <v>29</v>
      </c>
      <c r="C16" s="28" t="n">
        <f aca="false">COUNTA('🔮 HyperIntelligence'!A3:A30)</f>
        <v>8</v>
      </c>
      <c r="D16" s="28" t="n">
        <f aca="false">COUNTIF('🔮 HyperIntelligence'!I3:I30,"PASS")</f>
        <v>0</v>
      </c>
      <c r="E16" s="28" t="n">
        <f aca="false">COUNTIF('🔮 HyperIntelligence'!I3:I30,"FAIL")</f>
        <v>0</v>
      </c>
      <c r="F16" s="28" t="n">
        <f aca="false">COUNTIF('🔮 HyperIntelligence'!I3:I30,"PARTIAL")</f>
        <v>0</v>
      </c>
      <c r="G16" s="28" t="n">
        <f aca="false">COUNTIF('🔮 HyperIntelligence'!I3:I30,"PENDING")</f>
        <v>8</v>
      </c>
      <c r="H16" s="29" t="n">
        <f aca="false">IFERROR(D16/(C16)*100,0)</f>
        <v>0</v>
      </c>
      <c r="I16" s="28" t="str">
        <f aca="false">IF(G16=C16,"⏳ Not Started",IF(E16&gt;0,"🔴 Issues Found",IF(F16&gt;0,"🟡 Partially Working","🟢 All Passing")))</f>
        <v>⏳ Not Started</v>
      </c>
      <c r="J16" s="30" t="s">
        <v>30</v>
      </c>
    </row>
    <row r="17" customFormat="false" ht="19.5" hidden="false" customHeight="true" outlineLevel="0" collapsed="false">
      <c r="A17" s="23" t="s">
        <v>31</v>
      </c>
      <c r="B17" s="24" t="s">
        <v>32</v>
      </c>
      <c r="C17" s="24" t="n">
        <f aca="false">COUNTA('🌐 Universal Agent'!A3:A30)</f>
        <v>7</v>
      </c>
      <c r="D17" s="24" t="n">
        <f aca="false">COUNTIF('🌐 Universal Agent'!I3:I30,"PASS")</f>
        <v>0</v>
      </c>
      <c r="E17" s="24" t="n">
        <f aca="false">COUNTIF('🌐 Universal Agent'!I3:I30,"FAIL")</f>
        <v>0</v>
      </c>
      <c r="F17" s="24" t="n">
        <f aca="false">COUNTIF('🌐 Universal Agent'!I3:I30,"PARTIAL")</f>
        <v>0</v>
      </c>
      <c r="G17" s="24" t="n">
        <f aca="false">COUNTIF('🌐 Universal Agent'!I3:I30,"PENDING")</f>
        <v>7</v>
      </c>
      <c r="H17" s="25" t="n">
        <f aca="false">IFERROR(D17/(C17)*100,0)</f>
        <v>0</v>
      </c>
      <c r="I17" s="24" t="str">
        <f aca="false">IF(G17=C17,"⏳ Not Started",IF(E17&gt;0,"🔴 Issues Found",IF(F17&gt;0,"🟡 Partially Working","🟢 All Passing")))</f>
        <v>⏳ Not Started</v>
      </c>
      <c r="J17" s="26" t="s">
        <v>33</v>
      </c>
    </row>
    <row r="18" customFormat="false" ht="19.5" hidden="false" customHeight="true" outlineLevel="0" collapsed="false">
      <c r="A18" s="27" t="s">
        <v>34</v>
      </c>
      <c r="B18" s="28" t="s">
        <v>35</v>
      </c>
      <c r="C18" s="28" t="n">
        <f aca="false">COUNTA('📄 Mosaic &amp; Models'!A3:A30)</f>
        <v>8</v>
      </c>
      <c r="D18" s="28" t="n">
        <f aca="false">COUNTIF('📄 Mosaic &amp; Models'!I3:I30,"PASS")</f>
        <v>0</v>
      </c>
      <c r="E18" s="28" t="n">
        <f aca="false">COUNTIF('📄 Mosaic &amp; Models'!I3:I30,"FAIL")</f>
        <v>0</v>
      </c>
      <c r="F18" s="28" t="n">
        <f aca="false">COUNTIF('📄 Mosaic &amp; Models'!I3:I30,"PARTIAL")</f>
        <v>0</v>
      </c>
      <c r="G18" s="28" t="n">
        <f aca="false">COUNTIF('📄 Mosaic &amp; Models'!I3:I30,"PENDING")</f>
        <v>8</v>
      </c>
      <c r="H18" s="29" t="n">
        <f aca="false">IFERROR(D18/(C18)*100,0)</f>
        <v>0</v>
      </c>
      <c r="I18" s="28" t="str">
        <f aca="false">IF(G18=C18,"⏳ Not Started",IF(E18&gt;0,"🔴 Issues Found",IF(F18&gt;0,"🟡 Partially Working","🟢 All Passing")))</f>
        <v>⏳ Not Started</v>
      </c>
      <c r="J18" s="30" t="s">
        <v>36</v>
      </c>
    </row>
    <row r="19" customFormat="false" ht="19.5" hidden="false" customHeight="true" outlineLevel="0" collapsed="false">
      <c r="A19" s="23" t="s">
        <v>37</v>
      </c>
      <c r="B19" s="24" t="s">
        <v>38</v>
      </c>
      <c r="C19" s="24" t="n">
        <f aca="false">COUNTA('🏛️ Sentinel &amp; Govern'!A3:A20)</f>
        <v>6</v>
      </c>
      <c r="D19" s="24" t="n">
        <f aca="false">COUNTIF('🏛️ Sentinel &amp; Govern'!I3:I20,"PASS")</f>
        <v>0</v>
      </c>
      <c r="E19" s="24" t="n">
        <f aca="false">COUNTIF('🏛️ Sentinel &amp; Govern'!I3:I20,"FAIL")</f>
        <v>0</v>
      </c>
      <c r="F19" s="24" t="n">
        <f aca="false">COUNTIF('🏛️ Sentinel &amp; Govern'!I3:I20,"PARTIAL")</f>
        <v>0</v>
      </c>
      <c r="G19" s="24" t="n">
        <f aca="false">COUNTIF('🏛️ Sentinel &amp; Govern'!I3:I20,"PENDING")</f>
        <v>6</v>
      </c>
      <c r="H19" s="25" t="n">
        <f aca="false">IFERROR(D19/(C19)*100,0)</f>
        <v>0</v>
      </c>
      <c r="I19" s="24" t="str">
        <f aca="false">IF(G19=C19,"⏳ Not Started",IF(E19&gt;0,"🔴 Issues Found",IF(F19&gt;0,"🟡 Partially Working","🟢 All Passing")))</f>
        <v>⏳ Not Started</v>
      </c>
      <c r="J19" s="26" t="s">
        <v>39</v>
      </c>
    </row>
    <row r="20" customFormat="false" ht="19.5" hidden="false" customHeight="true" outlineLevel="0" collapsed="false">
      <c r="A20" s="27" t="s">
        <v>40</v>
      </c>
      <c r="B20" s="28" t="s">
        <v>41</v>
      </c>
      <c r="C20" s="28" t="n">
        <f aca="false">COUNTA('🔊 Voice &amp; MCP'!A3:A20)</f>
        <v>7</v>
      </c>
      <c r="D20" s="28" t="n">
        <f aca="false">COUNTIF('🔊 Voice &amp; MCP'!I3:I20,"PASS")</f>
        <v>0</v>
      </c>
      <c r="E20" s="28" t="n">
        <f aca="false">COUNTIF('🔊 Voice &amp; MCP'!I3:I20,"FAIL")</f>
        <v>0</v>
      </c>
      <c r="F20" s="28" t="n">
        <f aca="false">COUNTIF('🔊 Voice &amp; MCP'!I3:I20,"PARTIAL")</f>
        <v>0</v>
      </c>
      <c r="G20" s="28" t="n">
        <f aca="false">COUNTIF('🔊 Voice &amp; MCP'!I3:I20,"PENDING")</f>
        <v>7</v>
      </c>
      <c r="H20" s="29" t="n">
        <f aca="false">IFERROR(D20/(C20)*100,0)</f>
        <v>0</v>
      </c>
      <c r="I20" s="28" t="str">
        <f aca="false">IF(G20=C20,"⏳ Not Started",IF(E20&gt;0,"🔴 Issues Found",IF(F20&gt;0,"🟡 Partially Working","🟢 All Passing")))</f>
        <v>⏳ Not Started</v>
      </c>
      <c r="J20" s="30" t="s">
        <v>42</v>
      </c>
    </row>
    <row r="21" customFormat="false" ht="21.75" hidden="false" customHeight="true" outlineLevel="0" collapsed="false">
      <c r="A21" s="31" t="s">
        <v>43</v>
      </c>
      <c r="B21" s="31"/>
      <c r="C21" s="31" t="n">
        <f aca="false">SUM(C13:C20)</f>
        <v>69</v>
      </c>
      <c r="D21" s="31" t="n">
        <f aca="false">SUM(D13:D20)</f>
        <v>0</v>
      </c>
      <c r="E21" s="31" t="n">
        <f aca="false">SUM(E13:E20)</f>
        <v>0</v>
      </c>
      <c r="F21" s="31" t="n">
        <f aca="false">SUM(F13:F20)</f>
        <v>0</v>
      </c>
      <c r="G21" s="31" t="n">
        <f aca="false">SUM(G13:G20)</f>
        <v>69</v>
      </c>
      <c r="H21" s="32" t="n">
        <f aca="false">IFERROR(D21/C21*100,0)</f>
        <v>0</v>
      </c>
      <c r="I21" s="31"/>
      <c r="J21" s="31"/>
    </row>
    <row r="23" customFormat="false" ht="7.5" hidden="false" customHeight="true" outlineLevel="0" collapsed="false"/>
    <row r="24" customFormat="false" ht="15" hidden="false" customHeight="false" outlineLevel="0" collapsed="false">
      <c r="A24" s="7" t="s">
        <v>44</v>
      </c>
      <c r="B24" s="7"/>
    </row>
    <row r="25" customFormat="false" ht="18" hidden="false" customHeight="true" outlineLevel="0" collapsed="false">
      <c r="A25" s="33" t="s">
        <v>45</v>
      </c>
      <c r="B25" s="34" t="s">
        <v>46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</row>
    <row r="26" customFormat="false" ht="18" hidden="false" customHeight="true" outlineLevel="0" collapsed="false">
      <c r="A26" s="35" t="s">
        <v>47</v>
      </c>
      <c r="B26" s="34" t="s">
        <v>48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customFormat="false" ht="18" hidden="false" customHeight="true" outlineLevel="0" collapsed="false">
      <c r="A27" s="36" t="s">
        <v>49</v>
      </c>
      <c r="B27" s="34" t="s">
        <v>50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customFormat="false" ht="18" hidden="false" customHeight="true" outlineLevel="0" collapsed="false">
      <c r="A28" s="37" t="s">
        <v>51</v>
      </c>
      <c r="B28" s="34" t="s">
        <v>52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customFormat="false" ht="18" hidden="false" customHeight="true" outlineLevel="0" collapsed="false">
      <c r="A29" s="38" t="s">
        <v>53</v>
      </c>
      <c r="B29" s="34" t="s">
        <v>54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customFormat="false" ht="18" hidden="false" customHeight="true" outlineLevel="0" collapsed="false">
      <c r="A30" s="39" t="s">
        <v>55</v>
      </c>
      <c r="B30" s="34" t="s">
        <v>56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2" customFormat="false" ht="15" hidden="false" customHeight="false" outlineLevel="0" collapsed="false">
      <c r="A32" s="40" t="s">
        <v>57</v>
      </c>
      <c r="B32" s="40"/>
      <c r="C32" s="40"/>
      <c r="D32" s="40"/>
    </row>
    <row r="33" customFormat="false" ht="19.5" hidden="false" customHeight="true" outlineLevel="0" collapsed="false">
      <c r="A33" s="41" t="s">
        <v>58</v>
      </c>
      <c r="B33" s="41"/>
      <c r="C33" s="41"/>
      <c r="D33" s="41"/>
      <c r="E33" s="42"/>
      <c r="F33" s="42"/>
      <c r="G33" s="42"/>
      <c r="H33" s="42"/>
      <c r="I33" s="42"/>
      <c r="J33" s="42"/>
      <c r="K33" s="42"/>
      <c r="L33" s="42"/>
    </row>
    <row r="34" customFormat="false" ht="19.5" hidden="false" customHeight="true" outlineLevel="0" collapsed="false">
      <c r="A34" s="41" t="s">
        <v>59</v>
      </c>
      <c r="B34" s="41"/>
      <c r="C34" s="41"/>
      <c r="D34" s="41"/>
      <c r="E34" s="42"/>
      <c r="F34" s="42"/>
      <c r="G34" s="42"/>
      <c r="H34" s="42"/>
      <c r="I34" s="42"/>
      <c r="J34" s="42"/>
      <c r="K34" s="42"/>
      <c r="L34" s="42"/>
    </row>
    <row r="35" customFormat="false" ht="19.5" hidden="false" customHeight="true" outlineLevel="0" collapsed="false">
      <c r="A35" s="41" t="s">
        <v>60</v>
      </c>
      <c r="B35" s="41"/>
      <c r="C35" s="41"/>
      <c r="D35" s="41"/>
      <c r="E35" s="42"/>
      <c r="F35" s="42"/>
      <c r="G35" s="42"/>
      <c r="H35" s="42"/>
      <c r="I35" s="42"/>
      <c r="J35" s="42"/>
      <c r="K35" s="42"/>
      <c r="L35" s="42"/>
    </row>
    <row r="36" customFormat="false" ht="19.5" hidden="false" customHeight="true" outlineLevel="0" collapsed="false">
      <c r="A36" s="41" t="s">
        <v>61</v>
      </c>
      <c r="B36" s="41"/>
      <c r="C36" s="41"/>
      <c r="D36" s="41"/>
      <c r="E36" s="42"/>
      <c r="F36" s="42"/>
      <c r="G36" s="42"/>
      <c r="H36" s="42"/>
      <c r="I36" s="42"/>
      <c r="J36" s="42"/>
      <c r="K36" s="42"/>
      <c r="L36" s="42"/>
    </row>
    <row r="37" customFormat="false" ht="19.5" hidden="false" customHeight="true" outlineLevel="0" collapsed="false">
      <c r="A37" s="41" t="s">
        <v>62</v>
      </c>
      <c r="B37" s="41"/>
      <c r="C37" s="41"/>
      <c r="D37" s="41"/>
      <c r="E37" s="42"/>
      <c r="F37" s="42"/>
      <c r="G37" s="42"/>
      <c r="H37" s="42"/>
      <c r="I37" s="42"/>
      <c r="J37" s="42"/>
      <c r="K37" s="42"/>
      <c r="L37" s="42"/>
    </row>
    <row r="38" customFormat="false" ht="19.5" hidden="false" customHeight="true" outlineLevel="0" collapsed="false">
      <c r="A38" s="41" t="s">
        <v>63</v>
      </c>
      <c r="B38" s="41"/>
      <c r="C38" s="41"/>
      <c r="D38" s="41"/>
      <c r="E38" s="42"/>
      <c r="F38" s="42"/>
      <c r="G38" s="42"/>
      <c r="H38" s="42"/>
      <c r="I38" s="42"/>
      <c r="J38" s="42"/>
      <c r="K38" s="42"/>
      <c r="L38" s="42"/>
    </row>
  </sheetData>
  <mergeCells count="41">
    <mergeCell ref="A2:L3"/>
    <mergeCell ref="A4:L4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1:L11"/>
    <mergeCell ref="A24:B24"/>
    <mergeCell ref="B25:L25"/>
    <mergeCell ref="B26:L26"/>
    <mergeCell ref="B27:L27"/>
    <mergeCell ref="B28:L28"/>
    <mergeCell ref="B29:L29"/>
    <mergeCell ref="B30:L30"/>
    <mergeCell ref="A32:D32"/>
    <mergeCell ref="A33:D33"/>
    <mergeCell ref="E33:L33"/>
    <mergeCell ref="A34:D34"/>
    <mergeCell ref="E34:L34"/>
    <mergeCell ref="A35:D35"/>
    <mergeCell ref="E35:L35"/>
    <mergeCell ref="A36:D36"/>
    <mergeCell ref="E36:L36"/>
    <mergeCell ref="A37:D37"/>
    <mergeCell ref="E37:L37"/>
    <mergeCell ref="A38:D38"/>
    <mergeCell ref="E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7" min="5" style="0" width="38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43" t="s">
        <v>64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customFormat="false" ht="24" hidden="false" customHeight="true" outlineLevel="0" collapsed="false">
      <c r="A2" s="31" t="s">
        <v>65</v>
      </c>
      <c r="B2" s="31" t="s">
        <v>66</v>
      </c>
      <c r="C2" s="31" t="s">
        <v>67</v>
      </c>
      <c r="D2" s="31" t="s">
        <v>68</v>
      </c>
      <c r="E2" s="31" t="s">
        <v>69</v>
      </c>
      <c r="F2" s="31" t="s">
        <v>70</v>
      </c>
      <c r="G2" s="31" t="s">
        <v>71</v>
      </c>
      <c r="H2" s="31" t="s">
        <v>72</v>
      </c>
      <c r="I2" s="31" t="s">
        <v>17</v>
      </c>
      <c r="J2" s="31" t="s">
        <v>73</v>
      </c>
      <c r="K2" s="31" t="s">
        <v>74</v>
      </c>
    </row>
    <row r="3" customFormat="false" ht="51.75" hidden="false" customHeight="true" outlineLevel="0" collapsed="false">
      <c r="A3" s="44" t="s">
        <v>75</v>
      </c>
      <c r="B3" s="45" t="s">
        <v>76</v>
      </c>
      <c r="C3" s="26" t="s">
        <v>77</v>
      </c>
      <c r="D3" s="26" t="s">
        <v>78</v>
      </c>
      <c r="E3" s="26" t="s">
        <v>79</v>
      </c>
      <c r="F3" s="26" t="s">
        <v>80</v>
      </c>
      <c r="G3" s="26" t="s">
        <v>81</v>
      </c>
      <c r="H3" s="46"/>
      <c r="I3" s="47" t="s">
        <v>55</v>
      </c>
      <c r="J3" s="24" t="s">
        <v>82</v>
      </c>
      <c r="K3" s="26"/>
    </row>
    <row r="4" customFormat="false" ht="51.75" hidden="false" customHeight="true" outlineLevel="0" collapsed="false">
      <c r="A4" s="44" t="s">
        <v>83</v>
      </c>
      <c r="B4" s="45" t="s">
        <v>76</v>
      </c>
      <c r="C4" s="30" t="s">
        <v>84</v>
      </c>
      <c r="D4" s="30" t="s">
        <v>85</v>
      </c>
      <c r="E4" s="30" t="s">
        <v>86</v>
      </c>
      <c r="F4" s="30" t="s">
        <v>87</v>
      </c>
      <c r="G4" s="30" t="s">
        <v>88</v>
      </c>
      <c r="H4" s="46"/>
      <c r="I4" s="47" t="s">
        <v>55</v>
      </c>
      <c r="J4" s="28" t="s">
        <v>82</v>
      </c>
      <c r="K4" s="30"/>
    </row>
    <row r="5" customFormat="false" ht="51.75" hidden="false" customHeight="true" outlineLevel="0" collapsed="false">
      <c r="A5" s="44" t="s">
        <v>89</v>
      </c>
      <c r="B5" s="45" t="s">
        <v>76</v>
      </c>
      <c r="C5" s="26" t="s">
        <v>90</v>
      </c>
      <c r="D5" s="26" t="s">
        <v>91</v>
      </c>
      <c r="E5" s="26" t="s">
        <v>92</v>
      </c>
      <c r="F5" s="26" t="s">
        <v>93</v>
      </c>
      <c r="G5" s="26" t="s">
        <v>94</v>
      </c>
      <c r="H5" s="46"/>
      <c r="I5" s="47" t="s">
        <v>55</v>
      </c>
      <c r="J5" s="24" t="s">
        <v>82</v>
      </c>
      <c r="K5" s="26"/>
    </row>
    <row r="6" customFormat="false" ht="51.75" hidden="false" customHeight="true" outlineLevel="0" collapsed="false">
      <c r="A6" s="44" t="s">
        <v>95</v>
      </c>
      <c r="B6" s="45" t="s">
        <v>76</v>
      </c>
      <c r="C6" s="30" t="s">
        <v>96</v>
      </c>
      <c r="D6" s="30" t="s">
        <v>97</v>
      </c>
      <c r="E6" s="30" t="s">
        <v>98</v>
      </c>
      <c r="F6" s="30" t="s">
        <v>99</v>
      </c>
      <c r="G6" s="30" t="s">
        <v>100</v>
      </c>
      <c r="H6" s="46"/>
      <c r="I6" s="47" t="s">
        <v>55</v>
      </c>
      <c r="J6" s="28" t="s">
        <v>82</v>
      </c>
      <c r="K6" s="30"/>
    </row>
    <row r="7" customFormat="false" ht="51.75" hidden="false" customHeight="true" outlineLevel="0" collapsed="false">
      <c r="A7" s="44" t="s">
        <v>101</v>
      </c>
      <c r="B7" s="45" t="s">
        <v>76</v>
      </c>
      <c r="C7" s="26" t="s">
        <v>102</v>
      </c>
      <c r="D7" s="26" t="s">
        <v>103</v>
      </c>
      <c r="E7" s="26" t="s">
        <v>104</v>
      </c>
      <c r="F7" s="26" t="s">
        <v>105</v>
      </c>
      <c r="G7" s="26" t="s">
        <v>106</v>
      </c>
      <c r="H7" s="46"/>
      <c r="I7" s="47" t="s">
        <v>55</v>
      </c>
      <c r="J7" s="24" t="s">
        <v>82</v>
      </c>
      <c r="K7" s="26"/>
    </row>
    <row r="8" customFormat="false" ht="51.75" hidden="false" customHeight="true" outlineLevel="0" collapsed="false">
      <c r="A8" s="44" t="s">
        <v>107</v>
      </c>
      <c r="B8" s="45" t="s">
        <v>76</v>
      </c>
      <c r="C8" s="30" t="s">
        <v>108</v>
      </c>
      <c r="D8" s="30" t="s">
        <v>109</v>
      </c>
      <c r="E8" s="30" t="s">
        <v>110</v>
      </c>
      <c r="F8" s="30" t="s">
        <v>111</v>
      </c>
      <c r="G8" s="30" t="s">
        <v>112</v>
      </c>
      <c r="H8" s="46"/>
      <c r="I8" s="47" t="s">
        <v>55</v>
      </c>
      <c r="J8" s="28" t="s">
        <v>82</v>
      </c>
      <c r="K8" s="30"/>
    </row>
    <row r="9" customFormat="false" ht="51.75" hidden="false" customHeight="true" outlineLevel="0" collapsed="false">
      <c r="A9" s="44" t="s">
        <v>113</v>
      </c>
      <c r="B9" s="45" t="s">
        <v>76</v>
      </c>
      <c r="C9" s="26" t="s">
        <v>114</v>
      </c>
      <c r="D9" s="26" t="s">
        <v>115</v>
      </c>
      <c r="E9" s="26" t="s">
        <v>116</v>
      </c>
      <c r="F9" s="26" t="s">
        <v>117</v>
      </c>
      <c r="G9" s="26" t="s">
        <v>118</v>
      </c>
      <c r="H9" s="46"/>
      <c r="I9" s="47" t="s">
        <v>55</v>
      </c>
      <c r="J9" s="24" t="s">
        <v>82</v>
      </c>
      <c r="K9" s="26"/>
    </row>
    <row r="10" customFormat="false" ht="51.75" hidden="false" customHeight="true" outlineLevel="0" collapsed="false">
      <c r="A10" s="44" t="s">
        <v>119</v>
      </c>
      <c r="B10" s="45" t="s">
        <v>76</v>
      </c>
      <c r="C10" s="30" t="s">
        <v>120</v>
      </c>
      <c r="D10" s="30" t="s">
        <v>121</v>
      </c>
      <c r="E10" s="30" t="s">
        <v>122</v>
      </c>
      <c r="F10" s="30" t="s">
        <v>123</v>
      </c>
      <c r="G10" s="30" t="s">
        <v>124</v>
      </c>
      <c r="H10" s="46"/>
      <c r="I10" s="47" t="s">
        <v>55</v>
      </c>
      <c r="J10" s="28" t="s">
        <v>82</v>
      </c>
      <c r="K10" s="30"/>
    </row>
    <row r="11" customFormat="false" ht="51.75" hidden="false" customHeight="true" outlineLevel="0" collapsed="false">
      <c r="A11" s="44" t="s">
        <v>125</v>
      </c>
      <c r="B11" s="45" t="s">
        <v>76</v>
      </c>
      <c r="C11" s="26" t="s">
        <v>126</v>
      </c>
      <c r="D11" s="26" t="s">
        <v>127</v>
      </c>
      <c r="E11" s="26" t="s">
        <v>128</v>
      </c>
      <c r="F11" s="26" t="s">
        <v>129</v>
      </c>
      <c r="G11" s="26" t="s">
        <v>130</v>
      </c>
      <c r="H11" s="46"/>
      <c r="I11" s="47" t="s">
        <v>55</v>
      </c>
      <c r="J11" s="24" t="s">
        <v>82</v>
      </c>
      <c r="K11" s="26"/>
    </row>
    <row r="12" customFormat="false" ht="51.75" hidden="false" customHeight="true" outlineLevel="0" collapsed="false">
      <c r="A12" s="44" t="s">
        <v>131</v>
      </c>
      <c r="B12" s="45" t="s">
        <v>76</v>
      </c>
      <c r="C12" s="30" t="s">
        <v>132</v>
      </c>
      <c r="D12" s="30" t="s">
        <v>133</v>
      </c>
      <c r="E12" s="30" t="s">
        <v>134</v>
      </c>
      <c r="F12" s="30" t="s">
        <v>135</v>
      </c>
      <c r="G12" s="30" t="s">
        <v>136</v>
      </c>
      <c r="H12" s="46"/>
      <c r="I12" s="47" t="s">
        <v>55</v>
      </c>
      <c r="J12" s="28" t="s">
        <v>82</v>
      </c>
      <c r="K12" s="30"/>
    </row>
    <row r="13" customFormat="false" ht="51.75" hidden="false" customHeight="true" outlineLevel="0" collapsed="false">
      <c r="A13" s="44" t="s">
        <v>137</v>
      </c>
      <c r="B13" s="45" t="s">
        <v>76</v>
      </c>
      <c r="C13" s="26" t="s">
        <v>138</v>
      </c>
      <c r="D13" s="26" t="s">
        <v>139</v>
      </c>
      <c r="E13" s="26" t="s">
        <v>140</v>
      </c>
      <c r="F13" s="26" t="s">
        <v>141</v>
      </c>
      <c r="G13" s="26" t="s">
        <v>142</v>
      </c>
      <c r="H13" s="46"/>
      <c r="I13" s="47" t="s">
        <v>55</v>
      </c>
      <c r="J13" s="24" t="s">
        <v>82</v>
      </c>
      <c r="K13" s="26"/>
    </row>
    <row r="14" customFormat="false" ht="51.75" hidden="false" customHeight="true" outlineLevel="0" collapsed="false">
      <c r="A14" s="44" t="s">
        <v>143</v>
      </c>
      <c r="B14" s="45" t="s">
        <v>76</v>
      </c>
      <c r="C14" s="30" t="s">
        <v>144</v>
      </c>
      <c r="D14" s="30" t="s">
        <v>145</v>
      </c>
      <c r="E14" s="30" t="s">
        <v>146</v>
      </c>
      <c r="F14" s="30" t="s">
        <v>147</v>
      </c>
      <c r="G14" s="30" t="s">
        <v>148</v>
      </c>
      <c r="H14" s="46"/>
      <c r="I14" s="47" t="s">
        <v>55</v>
      </c>
      <c r="J14" s="28" t="s">
        <v>149</v>
      </c>
      <c r="K14" s="30"/>
    </row>
    <row r="15" customFormat="false" ht="51.75" hidden="false" customHeight="true" outlineLevel="0" collapsed="false">
      <c r="A15" s="44" t="s">
        <v>150</v>
      </c>
      <c r="B15" s="45" t="s">
        <v>76</v>
      </c>
      <c r="C15" s="26" t="s">
        <v>151</v>
      </c>
      <c r="D15" s="26" t="s">
        <v>152</v>
      </c>
      <c r="E15" s="26" t="s">
        <v>153</v>
      </c>
      <c r="F15" s="26" t="s">
        <v>154</v>
      </c>
      <c r="G15" s="26" t="s">
        <v>155</v>
      </c>
      <c r="H15" s="46"/>
      <c r="I15" s="47" t="s">
        <v>55</v>
      </c>
      <c r="J15" s="24" t="s">
        <v>82</v>
      </c>
      <c r="K15" s="26"/>
    </row>
    <row r="16" customFormat="false" ht="51.75" hidden="false" customHeight="true" outlineLevel="0" collapsed="false">
      <c r="A16" s="44" t="s">
        <v>156</v>
      </c>
      <c r="B16" s="45" t="s">
        <v>76</v>
      </c>
      <c r="C16" s="30" t="s">
        <v>157</v>
      </c>
      <c r="D16" s="30" t="s">
        <v>158</v>
      </c>
      <c r="E16" s="30" t="s">
        <v>159</v>
      </c>
      <c r="F16" s="30" t="s">
        <v>160</v>
      </c>
      <c r="G16" s="30" t="s">
        <v>161</v>
      </c>
      <c r="H16" s="46"/>
      <c r="I16" s="47" t="s">
        <v>55</v>
      </c>
      <c r="J16" s="28" t="s">
        <v>149</v>
      </c>
      <c r="K16" s="30"/>
    </row>
    <row r="17" customFormat="false" ht="51.75" hidden="false" customHeight="true" outlineLevel="0" collapsed="false">
      <c r="A17" s="44" t="s">
        <v>162</v>
      </c>
      <c r="B17" s="45" t="s">
        <v>76</v>
      </c>
      <c r="C17" s="26" t="s">
        <v>163</v>
      </c>
      <c r="D17" s="26" t="s">
        <v>164</v>
      </c>
      <c r="E17" s="26" t="s">
        <v>165</v>
      </c>
      <c r="F17" s="26" t="s">
        <v>166</v>
      </c>
      <c r="G17" s="26" t="s">
        <v>167</v>
      </c>
      <c r="H17" s="46"/>
      <c r="I17" s="47" t="s">
        <v>55</v>
      </c>
      <c r="J17" s="24" t="s">
        <v>149</v>
      </c>
      <c r="K17" s="26"/>
    </row>
  </sheetData>
  <mergeCells count="1">
    <mergeCell ref="A1:K1"/>
  </mergeCells>
  <conditionalFormatting sqref="I3:I38">
    <cfRule type="expression" priority="2" aboveAverage="0" equalAverage="0" bottom="0" percent="0" rank="0" text="" dxfId="0">
      <formula>I3="PASS"</formula>
    </cfRule>
    <cfRule type="expression" priority="3" aboveAverage="0" equalAverage="0" bottom="0" percent="0" rank="0" text="" dxfId="1">
      <formula>I3="FAIL"</formula>
    </cfRule>
    <cfRule type="expression" priority="4" aboveAverage="0" equalAverage="0" bottom="0" percent="0" rank="0" text="" dxfId="2">
      <formula>I3="PARTIAL"</formula>
    </cfRule>
    <cfRule type="expression" priority="5" aboveAverage="0" equalAverage="0" bottom="0" percent="0" rank="0" text="" dxfId="3">
      <formula>I3="NOT UP TO MARK"</formula>
    </cfRule>
    <cfRule type="expression" priority="6" aboveAverage="0" equalAverage="0" bottom="0" percent="0" rank="0" text="" dxfId="4">
      <formula>I3="BLOCKED"</formula>
    </cfRule>
  </conditionalFormatting>
  <dataValidations count="2">
    <dataValidation allowBlank="true" error="Choose from: PASS, FAIL, PARTIAL, NOT UP TO MARK, BLOCKED, PENDING" errorStyle="stop" errorTitle="Invalid Status" operator="between" prompt="Select test result" promptTitle="Status" showDropDown="false" showErrorMessage="false" showInputMessage="false" sqref="I3:I68" type="list">
      <formula1>"PASS,FAIL,PARTIAL,NOT UP TO MARK,BLOCKED,PENDING"</formula1>
      <formula2>0</formula2>
    </dataValidation>
    <dataValidation allowBlank="true" errorStyle="stop" operator="between" showDropDown="false" showErrorMessage="false" showInputMessage="false" sqref="J3:J6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7" min="5" style="0" width="38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48" t="s">
        <v>168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customFormat="false" ht="24" hidden="false" customHeight="true" outlineLevel="0" collapsed="false">
      <c r="A2" s="31" t="s">
        <v>65</v>
      </c>
      <c r="B2" s="31" t="s">
        <v>66</v>
      </c>
      <c r="C2" s="31" t="s">
        <v>67</v>
      </c>
      <c r="D2" s="31" t="s">
        <v>68</v>
      </c>
      <c r="E2" s="31" t="s">
        <v>69</v>
      </c>
      <c r="F2" s="31" t="s">
        <v>70</v>
      </c>
      <c r="G2" s="31" t="s">
        <v>71</v>
      </c>
      <c r="H2" s="31" t="s">
        <v>72</v>
      </c>
      <c r="I2" s="31" t="s">
        <v>17</v>
      </c>
      <c r="J2" s="31" t="s">
        <v>73</v>
      </c>
      <c r="K2" s="31" t="s">
        <v>74</v>
      </c>
    </row>
    <row r="3" customFormat="false" ht="51.75" hidden="false" customHeight="true" outlineLevel="0" collapsed="false">
      <c r="A3" s="49" t="s">
        <v>169</v>
      </c>
      <c r="B3" s="45" t="s">
        <v>22</v>
      </c>
      <c r="C3" s="26" t="s">
        <v>170</v>
      </c>
      <c r="D3" s="26" t="s">
        <v>171</v>
      </c>
      <c r="E3" s="26" t="s">
        <v>172</v>
      </c>
      <c r="F3" s="26" t="s">
        <v>173</v>
      </c>
      <c r="G3" s="26" t="s">
        <v>174</v>
      </c>
      <c r="H3" s="46"/>
      <c r="I3" s="47" t="s">
        <v>55</v>
      </c>
      <c r="J3" s="24" t="s">
        <v>82</v>
      </c>
      <c r="K3" s="26"/>
    </row>
    <row r="4" customFormat="false" ht="51.75" hidden="false" customHeight="true" outlineLevel="0" collapsed="false">
      <c r="A4" s="49" t="s">
        <v>175</v>
      </c>
      <c r="B4" s="45" t="s">
        <v>22</v>
      </c>
      <c r="C4" s="30" t="s">
        <v>176</v>
      </c>
      <c r="D4" s="30" t="s">
        <v>177</v>
      </c>
      <c r="E4" s="30" t="s">
        <v>178</v>
      </c>
      <c r="F4" s="30" t="s">
        <v>179</v>
      </c>
      <c r="G4" s="30" t="s">
        <v>180</v>
      </c>
      <c r="H4" s="46"/>
      <c r="I4" s="47" t="s">
        <v>55</v>
      </c>
      <c r="J4" s="28" t="s">
        <v>82</v>
      </c>
      <c r="K4" s="30"/>
    </row>
    <row r="5" customFormat="false" ht="51.75" hidden="false" customHeight="true" outlineLevel="0" collapsed="false">
      <c r="A5" s="49" t="s">
        <v>181</v>
      </c>
      <c r="B5" s="45" t="s">
        <v>22</v>
      </c>
      <c r="C5" s="26" t="s">
        <v>182</v>
      </c>
      <c r="D5" s="26" t="s">
        <v>183</v>
      </c>
      <c r="E5" s="26" t="s">
        <v>184</v>
      </c>
      <c r="F5" s="26" t="s">
        <v>185</v>
      </c>
      <c r="G5" s="26" t="s">
        <v>186</v>
      </c>
      <c r="H5" s="46"/>
      <c r="I5" s="47" t="s">
        <v>55</v>
      </c>
      <c r="J5" s="24" t="s">
        <v>82</v>
      </c>
      <c r="K5" s="26"/>
    </row>
    <row r="6" customFormat="false" ht="51.75" hidden="false" customHeight="true" outlineLevel="0" collapsed="false">
      <c r="A6" s="49" t="s">
        <v>187</v>
      </c>
      <c r="B6" s="45" t="s">
        <v>22</v>
      </c>
      <c r="C6" s="30" t="s">
        <v>188</v>
      </c>
      <c r="D6" s="30" t="s">
        <v>189</v>
      </c>
      <c r="E6" s="30" t="s">
        <v>190</v>
      </c>
      <c r="F6" s="30" t="s">
        <v>191</v>
      </c>
      <c r="G6" s="30" t="s">
        <v>192</v>
      </c>
      <c r="H6" s="46"/>
      <c r="I6" s="47" t="s">
        <v>55</v>
      </c>
      <c r="J6" s="28" t="s">
        <v>82</v>
      </c>
      <c r="K6" s="30"/>
    </row>
    <row r="7" customFormat="false" ht="51.75" hidden="false" customHeight="true" outlineLevel="0" collapsed="false">
      <c r="A7" s="49" t="s">
        <v>193</v>
      </c>
      <c r="B7" s="45" t="s">
        <v>22</v>
      </c>
      <c r="C7" s="26" t="s">
        <v>194</v>
      </c>
      <c r="D7" s="26" t="s">
        <v>195</v>
      </c>
      <c r="E7" s="26" t="s">
        <v>196</v>
      </c>
      <c r="F7" s="26" t="s">
        <v>197</v>
      </c>
      <c r="G7" s="26" t="s">
        <v>198</v>
      </c>
      <c r="H7" s="46"/>
      <c r="I7" s="47" t="s">
        <v>55</v>
      </c>
      <c r="J7" s="24" t="s">
        <v>82</v>
      </c>
      <c r="K7" s="26"/>
    </row>
    <row r="8" customFormat="false" ht="51.75" hidden="false" customHeight="true" outlineLevel="0" collapsed="false">
      <c r="A8" s="49" t="s">
        <v>199</v>
      </c>
      <c r="B8" s="45" t="s">
        <v>22</v>
      </c>
      <c r="C8" s="30" t="s">
        <v>200</v>
      </c>
      <c r="D8" s="30" t="s">
        <v>201</v>
      </c>
      <c r="E8" s="30" t="s">
        <v>202</v>
      </c>
      <c r="F8" s="30" t="s">
        <v>203</v>
      </c>
      <c r="G8" s="30" t="s">
        <v>204</v>
      </c>
      <c r="H8" s="46"/>
      <c r="I8" s="47" t="s">
        <v>55</v>
      </c>
      <c r="J8" s="28" t="s">
        <v>149</v>
      </c>
      <c r="K8" s="30"/>
    </row>
    <row r="9" customFormat="false" ht="51.75" hidden="false" customHeight="true" outlineLevel="0" collapsed="false">
      <c r="A9" s="49" t="s">
        <v>205</v>
      </c>
      <c r="B9" s="45" t="s">
        <v>22</v>
      </c>
      <c r="C9" s="26" t="s">
        <v>206</v>
      </c>
      <c r="D9" s="26" t="s">
        <v>207</v>
      </c>
      <c r="E9" s="26" t="s">
        <v>208</v>
      </c>
      <c r="F9" s="26" t="s">
        <v>209</v>
      </c>
      <c r="G9" s="26" t="s">
        <v>210</v>
      </c>
      <c r="H9" s="46"/>
      <c r="I9" s="47" t="s">
        <v>55</v>
      </c>
      <c r="J9" s="24" t="s">
        <v>82</v>
      </c>
      <c r="K9" s="26"/>
    </row>
    <row r="10" customFormat="false" ht="51.75" hidden="false" customHeight="true" outlineLevel="0" collapsed="false">
      <c r="A10" s="49" t="s">
        <v>211</v>
      </c>
      <c r="B10" s="45" t="s">
        <v>22</v>
      </c>
      <c r="C10" s="30" t="s">
        <v>212</v>
      </c>
      <c r="D10" s="30" t="s">
        <v>213</v>
      </c>
      <c r="E10" s="30" t="s">
        <v>214</v>
      </c>
      <c r="F10" s="30" t="s">
        <v>215</v>
      </c>
      <c r="G10" s="30" t="s">
        <v>216</v>
      </c>
      <c r="H10" s="46"/>
      <c r="I10" s="47" t="s">
        <v>55</v>
      </c>
      <c r="J10" s="28" t="s">
        <v>149</v>
      </c>
      <c r="K10" s="30"/>
    </row>
  </sheetData>
  <mergeCells count="1">
    <mergeCell ref="A1:K1"/>
  </mergeCells>
  <conditionalFormatting sqref="I3:I31">
    <cfRule type="expression" priority="2" aboveAverage="0" equalAverage="0" bottom="0" percent="0" rank="0" text="" dxfId="0">
      <formula>I3="PASS"</formula>
    </cfRule>
    <cfRule type="expression" priority="3" aboveAverage="0" equalAverage="0" bottom="0" percent="0" rank="0" text="" dxfId="1">
      <formula>I3="FAIL"</formula>
    </cfRule>
    <cfRule type="expression" priority="4" aboveAverage="0" equalAverage="0" bottom="0" percent="0" rank="0" text="" dxfId="2">
      <formula>I3="PARTIAL"</formula>
    </cfRule>
    <cfRule type="expression" priority="5" aboveAverage="0" equalAverage="0" bottom="0" percent="0" rank="0" text="" dxfId="3">
      <formula>I3="NOT UP TO MARK"</formula>
    </cfRule>
    <cfRule type="expression" priority="6" aboveAverage="0" equalAverage="0" bottom="0" percent="0" rank="0" text="" dxfId="4">
      <formula>I3="BLOCKED"</formula>
    </cfRule>
  </conditionalFormatting>
  <dataValidations count="2">
    <dataValidation allowBlank="true" error="Choose from: PASS, FAIL, PARTIAL, NOT UP TO MARK, BLOCKED, PENDING" errorStyle="stop" errorTitle="Invalid Status" operator="between" prompt="Select test result" promptTitle="Status" showDropDown="false" showErrorMessage="false" showInputMessage="false" sqref="I3:I61" type="list">
      <formula1>"PASS,FAIL,PARTIAL,NOT UP TO MARK,BLOCKED,PENDING"</formula1>
      <formula2>0</formula2>
    </dataValidation>
    <dataValidation allowBlank="true" errorStyle="stop" operator="between" showDropDown="false" showErrorMessage="false" showInputMessage="false" sqref="J3:J6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7" min="5" style="0" width="38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50" t="s">
        <v>217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customFormat="false" ht="24" hidden="false" customHeight="true" outlineLevel="0" collapsed="false">
      <c r="A2" s="31" t="s">
        <v>65</v>
      </c>
      <c r="B2" s="31" t="s">
        <v>66</v>
      </c>
      <c r="C2" s="31" t="s">
        <v>67</v>
      </c>
      <c r="D2" s="31" t="s">
        <v>68</v>
      </c>
      <c r="E2" s="31" t="s">
        <v>69</v>
      </c>
      <c r="F2" s="31" t="s">
        <v>70</v>
      </c>
      <c r="G2" s="31" t="s">
        <v>71</v>
      </c>
      <c r="H2" s="31" t="s">
        <v>72</v>
      </c>
      <c r="I2" s="31" t="s">
        <v>17</v>
      </c>
      <c r="J2" s="31" t="s">
        <v>73</v>
      </c>
      <c r="K2" s="31" t="s">
        <v>74</v>
      </c>
    </row>
    <row r="3" customFormat="false" ht="51.75" hidden="false" customHeight="true" outlineLevel="0" collapsed="false">
      <c r="A3" s="51" t="s">
        <v>218</v>
      </c>
      <c r="B3" s="45" t="s">
        <v>219</v>
      </c>
      <c r="C3" s="26" t="s">
        <v>220</v>
      </c>
      <c r="D3" s="26" t="s">
        <v>221</v>
      </c>
      <c r="E3" s="26" t="s">
        <v>222</v>
      </c>
      <c r="F3" s="26" t="s">
        <v>223</v>
      </c>
      <c r="G3" s="26" t="s">
        <v>224</v>
      </c>
      <c r="H3" s="46"/>
      <c r="I3" s="47" t="s">
        <v>55</v>
      </c>
      <c r="J3" s="24" t="s">
        <v>82</v>
      </c>
      <c r="K3" s="26"/>
    </row>
    <row r="4" customFormat="false" ht="51.75" hidden="false" customHeight="true" outlineLevel="0" collapsed="false">
      <c r="A4" s="51" t="s">
        <v>225</v>
      </c>
      <c r="B4" s="45" t="s">
        <v>219</v>
      </c>
      <c r="C4" s="30" t="s">
        <v>226</v>
      </c>
      <c r="D4" s="30" t="s">
        <v>227</v>
      </c>
      <c r="E4" s="30" t="s">
        <v>228</v>
      </c>
      <c r="F4" s="30" t="s">
        <v>229</v>
      </c>
      <c r="G4" s="30" t="s">
        <v>230</v>
      </c>
      <c r="H4" s="46"/>
      <c r="I4" s="47" t="s">
        <v>55</v>
      </c>
      <c r="J4" s="28" t="s">
        <v>82</v>
      </c>
      <c r="K4" s="30"/>
    </row>
    <row r="5" customFormat="false" ht="51.75" hidden="false" customHeight="true" outlineLevel="0" collapsed="false">
      <c r="A5" s="51" t="s">
        <v>231</v>
      </c>
      <c r="B5" s="45" t="s">
        <v>219</v>
      </c>
      <c r="C5" s="26" t="s">
        <v>232</v>
      </c>
      <c r="D5" s="26" t="s">
        <v>233</v>
      </c>
      <c r="E5" s="26" t="s">
        <v>234</v>
      </c>
      <c r="F5" s="26" t="s">
        <v>235</v>
      </c>
      <c r="G5" s="26" t="s">
        <v>236</v>
      </c>
      <c r="H5" s="46"/>
      <c r="I5" s="47" t="s">
        <v>55</v>
      </c>
      <c r="J5" s="24" t="s">
        <v>82</v>
      </c>
      <c r="K5" s="26"/>
    </row>
    <row r="6" customFormat="false" ht="51.75" hidden="false" customHeight="true" outlineLevel="0" collapsed="false">
      <c r="A6" s="51" t="s">
        <v>237</v>
      </c>
      <c r="B6" s="45" t="s">
        <v>219</v>
      </c>
      <c r="C6" s="30" t="s">
        <v>238</v>
      </c>
      <c r="D6" s="30" t="s">
        <v>239</v>
      </c>
      <c r="E6" s="30" t="s">
        <v>240</v>
      </c>
      <c r="F6" s="30" t="s">
        <v>241</v>
      </c>
      <c r="G6" s="30" t="s">
        <v>242</v>
      </c>
      <c r="H6" s="46"/>
      <c r="I6" s="47" t="s">
        <v>55</v>
      </c>
      <c r="J6" s="28" t="s">
        <v>82</v>
      </c>
      <c r="K6" s="30"/>
    </row>
    <row r="7" customFormat="false" ht="51.75" hidden="false" customHeight="true" outlineLevel="0" collapsed="false">
      <c r="A7" s="51" t="s">
        <v>243</v>
      </c>
      <c r="B7" s="45" t="s">
        <v>219</v>
      </c>
      <c r="C7" s="26" t="s">
        <v>244</v>
      </c>
      <c r="D7" s="26" t="s">
        <v>245</v>
      </c>
      <c r="E7" s="26" t="s">
        <v>246</v>
      </c>
      <c r="F7" s="26" t="s">
        <v>247</v>
      </c>
      <c r="G7" s="26" t="s">
        <v>248</v>
      </c>
      <c r="H7" s="46"/>
      <c r="I7" s="47" t="s">
        <v>55</v>
      </c>
      <c r="J7" s="24" t="s">
        <v>149</v>
      </c>
      <c r="K7" s="26"/>
    </row>
    <row r="8" customFormat="false" ht="51.75" hidden="false" customHeight="true" outlineLevel="0" collapsed="false">
      <c r="A8" s="51" t="s">
        <v>249</v>
      </c>
      <c r="B8" s="45" t="s">
        <v>219</v>
      </c>
      <c r="C8" s="30" t="s">
        <v>250</v>
      </c>
      <c r="D8" s="30" t="s">
        <v>251</v>
      </c>
      <c r="E8" s="30" t="s">
        <v>252</v>
      </c>
      <c r="F8" s="30" t="s">
        <v>253</v>
      </c>
      <c r="G8" s="30" t="s">
        <v>254</v>
      </c>
      <c r="H8" s="46"/>
      <c r="I8" s="47" t="s">
        <v>55</v>
      </c>
      <c r="J8" s="28" t="s">
        <v>82</v>
      </c>
      <c r="K8" s="30"/>
    </row>
    <row r="9" customFormat="false" ht="51.75" hidden="false" customHeight="true" outlineLevel="0" collapsed="false">
      <c r="A9" s="51" t="s">
        <v>255</v>
      </c>
      <c r="B9" s="45" t="s">
        <v>256</v>
      </c>
      <c r="C9" s="26" t="s">
        <v>257</v>
      </c>
      <c r="D9" s="26" t="s">
        <v>258</v>
      </c>
      <c r="E9" s="26" t="s">
        <v>259</v>
      </c>
      <c r="F9" s="26" t="s">
        <v>260</v>
      </c>
      <c r="G9" s="26" t="s">
        <v>261</v>
      </c>
      <c r="H9" s="46"/>
      <c r="I9" s="47" t="s">
        <v>55</v>
      </c>
      <c r="J9" s="24" t="s">
        <v>82</v>
      </c>
      <c r="K9" s="26"/>
    </row>
    <row r="10" customFormat="false" ht="51.75" hidden="false" customHeight="true" outlineLevel="0" collapsed="false">
      <c r="A10" s="51" t="s">
        <v>262</v>
      </c>
      <c r="B10" s="45" t="s">
        <v>256</v>
      </c>
      <c r="C10" s="30" t="s">
        <v>263</v>
      </c>
      <c r="D10" s="30" t="s">
        <v>264</v>
      </c>
      <c r="E10" s="30" t="s">
        <v>265</v>
      </c>
      <c r="F10" s="30" t="s">
        <v>266</v>
      </c>
      <c r="G10" s="30" t="s">
        <v>267</v>
      </c>
      <c r="H10" s="46"/>
      <c r="I10" s="47" t="s">
        <v>55</v>
      </c>
      <c r="J10" s="28" t="s">
        <v>82</v>
      </c>
      <c r="K10" s="30"/>
    </row>
    <row r="11" customFormat="false" ht="51.75" hidden="false" customHeight="true" outlineLevel="0" collapsed="false">
      <c r="A11" s="51" t="s">
        <v>268</v>
      </c>
      <c r="B11" s="45" t="s">
        <v>219</v>
      </c>
      <c r="C11" s="26" t="s">
        <v>269</v>
      </c>
      <c r="D11" s="26" t="s">
        <v>270</v>
      </c>
      <c r="E11" s="26" t="s">
        <v>271</v>
      </c>
      <c r="F11" s="26" t="s">
        <v>272</v>
      </c>
      <c r="G11" s="26" t="s">
        <v>273</v>
      </c>
      <c r="H11" s="46"/>
      <c r="I11" s="47" t="s">
        <v>55</v>
      </c>
      <c r="J11" s="24" t="s">
        <v>82</v>
      </c>
      <c r="K11" s="26"/>
    </row>
    <row r="12" customFormat="false" ht="51.75" hidden="false" customHeight="true" outlineLevel="0" collapsed="false">
      <c r="A12" s="51" t="s">
        <v>274</v>
      </c>
      <c r="B12" s="45" t="s">
        <v>219</v>
      </c>
      <c r="C12" s="30" t="s">
        <v>275</v>
      </c>
      <c r="D12" s="30" t="s">
        <v>276</v>
      </c>
      <c r="E12" s="30" t="s">
        <v>277</v>
      </c>
      <c r="F12" s="30" t="s">
        <v>278</v>
      </c>
      <c r="G12" s="30" t="s">
        <v>279</v>
      </c>
      <c r="H12" s="46"/>
      <c r="I12" s="47" t="s">
        <v>55</v>
      </c>
      <c r="J12" s="28" t="s">
        <v>149</v>
      </c>
      <c r="K12" s="30"/>
    </row>
  </sheetData>
  <mergeCells count="1">
    <mergeCell ref="A1:K1"/>
  </mergeCells>
  <conditionalFormatting sqref="I3:I33">
    <cfRule type="expression" priority="2" aboveAverage="0" equalAverage="0" bottom="0" percent="0" rank="0" text="" dxfId="0">
      <formula>I3="PASS"</formula>
    </cfRule>
    <cfRule type="expression" priority="3" aboveAverage="0" equalAverage="0" bottom="0" percent="0" rank="0" text="" dxfId="1">
      <formula>I3="FAIL"</formula>
    </cfRule>
    <cfRule type="expression" priority="4" aboveAverage="0" equalAverage="0" bottom="0" percent="0" rank="0" text="" dxfId="2">
      <formula>I3="PARTIAL"</formula>
    </cfRule>
    <cfRule type="expression" priority="5" aboveAverage="0" equalAverage="0" bottom="0" percent="0" rank="0" text="" dxfId="3">
      <formula>I3="NOT UP TO MARK"</formula>
    </cfRule>
    <cfRule type="expression" priority="6" aboveAverage="0" equalAverage="0" bottom="0" percent="0" rank="0" text="" dxfId="4">
      <formula>I3="BLOCKED"</formula>
    </cfRule>
  </conditionalFormatting>
  <dataValidations count="2">
    <dataValidation allowBlank="true" error="Choose from: PASS, FAIL, PARTIAL, NOT UP TO MARK, BLOCKED, PENDING" errorStyle="stop" errorTitle="Invalid Status" operator="between" prompt="Select test result" promptTitle="Status" showDropDown="false" showErrorMessage="false" showInputMessage="false" sqref="I3:I63" type="list">
      <formula1>"PASS,FAIL,PARTIAL,NOT UP TO MARK,BLOCKED,PENDING"</formula1>
      <formula2>0</formula2>
    </dataValidation>
    <dataValidation allowBlank="true" errorStyle="stop" operator="between" showDropDown="false" showErrorMessage="false" showInputMessage="false" sqref="J3:J63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7" min="5" style="0" width="38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52" t="s">
        <v>280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24" hidden="false" customHeight="true" outlineLevel="0" collapsed="false">
      <c r="A2" s="31" t="s">
        <v>65</v>
      </c>
      <c r="B2" s="31" t="s">
        <v>66</v>
      </c>
      <c r="C2" s="31" t="s">
        <v>67</v>
      </c>
      <c r="D2" s="31" t="s">
        <v>68</v>
      </c>
      <c r="E2" s="31" t="s">
        <v>69</v>
      </c>
      <c r="F2" s="31" t="s">
        <v>70</v>
      </c>
      <c r="G2" s="31" t="s">
        <v>71</v>
      </c>
      <c r="H2" s="31" t="s">
        <v>72</v>
      </c>
      <c r="I2" s="31" t="s">
        <v>17</v>
      </c>
      <c r="J2" s="31" t="s">
        <v>73</v>
      </c>
      <c r="K2" s="31" t="s">
        <v>74</v>
      </c>
    </row>
    <row r="3" customFormat="false" ht="51.75" hidden="false" customHeight="true" outlineLevel="0" collapsed="false">
      <c r="A3" s="53" t="s">
        <v>281</v>
      </c>
      <c r="B3" s="45" t="s">
        <v>28</v>
      </c>
      <c r="C3" s="26" t="s">
        <v>282</v>
      </c>
      <c r="D3" s="26" t="s">
        <v>283</v>
      </c>
      <c r="E3" s="26" t="s">
        <v>284</v>
      </c>
      <c r="F3" s="26" t="s">
        <v>285</v>
      </c>
      <c r="G3" s="26" t="s">
        <v>286</v>
      </c>
      <c r="H3" s="46"/>
      <c r="I3" s="47" t="s">
        <v>55</v>
      </c>
      <c r="J3" s="24" t="s">
        <v>82</v>
      </c>
      <c r="K3" s="26"/>
    </row>
    <row r="4" customFormat="false" ht="51.75" hidden="false" customHeight="true" outlineLevel="0" collapsed="false">
      <c r="A4" s="53" t="s">
        <v>287</v>
      </c>
      <c r="B4" s="45" t="s">
        <v>28</v>
      </c>
      <c r="C4" s="30" t="s">
        <v>288</v>
      </c>
      <c r="D4" s="30" t="s">
        <v>289</v>
      </c>
      <c r="E4" s="30" t="s">
        <v>290</v>
      </c>
      <c r="F4" s="30" t="s">
        <v>291</v>
      </c>
      <c r="G4" s="30" t="s">
        <v>292</v>
      </c>
      <c r="H4" s="46"/>
      <c r="I4" s="47" t="s">
        <v>55</v>
      </c>
      <c r="J4" s="28" t="s">
        <v>82</v>
      </c>
      <c r="K4" s="30"/>
    </row>
    <row r="5" customFormat="false" ht="51.75" hidden="false" customHeight="true" outlineLevel="0" collapsed="false">
      <c r="A5" s="53" t="s">
        <v>293</v>
      </c>
      <c r="B5" s="45" t="s">
        <v>28</v>
      </c>
      <c r="C5" s="26" t="s">
        <v>294</v>
      </c>
      <c r="D5" s="26" t="s">
        <v>295</v>
      </c>
      <c r="E5" s="26" t="s">
        <v>296</v>
      </c>
      <c r="F5" s="26" t="s">
        <v>297</v>
      </c>
      <c r="G5" s="26" t="s">
        <v>298</v>
      </c>
      <c r="H5" s="46"/>
      <c r="I5" s="47" t="s">
        <v>55</v>
      </c>
      <c r="J5" s="24" t="s">
        <v>82</v>
      </c>
      <c r="K5" s="26"/>
    </row>
    <row r="6" customFormat="false" ht="51.75" hidden="false" customHeight="true" outlineLevel="0" collapsed="false">
      <c r="A6" s="53" t="s">
        <v>299</v>
      </c>
      <c r="B6" s="45" t="s">
        <v>28</v>
      </c>
      <c r="C6" s="30" t="s">
        <v>300</v>
      </c>
      <c r="D6" s="30" t="s">
        <v>301</v>
      </c>
      <c r="E6" s="30" t="s">
        <v>302</v>
      </c>
      <c r="F6" s="30" t="s">
        <v>303</v>
      </c>
      <c r="G6" s="30" t="s">
        <v>304</v>
      </c>
      <c r="H6" s="46"/>
      <c r="I6" s="47" t="s">
        <v>55</v>
      </c>
      <c r="J6" s="28" t="s">
        <v>82</v>
      </c>
      <c r="K6" s="30"/>
    </row>
    <row r="7" customFormat="false" ht="51.75" hidden="false" customHeight="true" outlineLevel="0" collapsed="false">
      <c r="A7" s="53" t="s">
        <v>305</v>
      </c>
      <c r="B7" s="45" t="s">
        <v>28</v>
      </c>
      <c r="C7" s="26" t="s">
        <v>306</v>
      </c>
      <c r="D7" s="26" t="s">
        <v>307</v>
      </c>
      <c r="E7" s="26" t="s">
        <v>308</v>
      </c>
      <c r="F7" s="26" t="s">
        <v>309</v>
      </c>
      <c r="G7" s="26" t="s">
        <v>310</v>
      </c>
      <c r="H7" s="46"/>
      <c r="I7" s="47" t="s">
        <v>55</v>
      </c>
      <c r="J7" s="24" t="s">
        <v>82</v>
      </c>
      <c r="K7" s="26"/>
    </row>
    <row r="8" customFormat="false" ht="51.75" hidden="false" customHeight="true" outlineLevel="0" collapsed="false">
      <c r="A8" s="53" t="s">
        <v>311</v>
      </c>
      <c r="B8" s="45" t="s">
        <v>28</v>
      </c>
      <c r="C8" s="30" t="s">
        <v>312</v>
      </c>
      <c r="D8" s="30" t="s">
        <v>313</v>
      </c>
      <c r="E8" s="30" t="s">
        <v>314</v>
      </c>
      <c r="F8" s="30" t="s">
        <v>315</v>
      </c>
      <c r="G8" s="30" t="s">
        <v>316</v>
      </c>
      <c r="H8" s="46"/>
      <c r="I8" s="47" t="s">
        <v>55</v>
      </c>
      <c r="J8" s="28" t="s">
        <v>149</v>
      </c>
      <c r="K8" s="30"/>
    </row>
    <row r="9" customFormat="false" ht="51.75" hidden="false" customHeight="true" outlineLevel="0" collapsed="false">
      <c r="A9" s="53" t="s">
        <v>317</v>
      </c>
      <c r="B9" s="45" t="s">
        <v>28</v>
      </c>
      <c r="C9" s="26" t="s">
        <v>318</v>
      </c>
      <c r="D9" s="26" t="s">
        <v>319</v>
      </c>
      <c r="E9" s="26" t="s">
        <v>320</v>
      </c>
      <c r="F9" s="26" t="s">
        <v>321</v>
      </c>
      <c r="G9" s="26" t="s">
        <v>322</v>
      </c>
      <c r="H9" s="46"/>
      <c r="I9" s="47" t="s">
        <v>55</v>
      </c>
      <c r="J9" s="24" t="s">
        <v>82</v>
      </c>
      <c r="K9" s="26"/>
    </row>
    <row r="10" customFormat="false" ht="51.75" hidden="false" customHeight="true" outlineLevel="0" collapsed="false">
      <c r="A10" s="53" t="s">
        <v>323</v>
      </c>
      <c r="B10" s="45" t="s">
        <v>28</v>
      </c>
      <c r="C10" s="30" t="s">
        <v>324</v>
      </c>
      <c r="D10" s="30" t="s">
        <v>325</v>
      </c>
      <c r="E10" s="30" t="s">
        <v>326</v>
      </c>
      <c r="F10" s="30" t="s">
        <v>327</v>
      </c>
      <c r="G10" s="30" t="s">
        <v>328</v>
      </c>
      <c r="H10" s="46"/>
      <c r="I10" s="47" t="s">
        <v>55</v>
      </c>
      <c r="J10" s="28" t="s">
        <v>82</v>
      </c>
      <c r="K10" s="30"/>
    </row>
  </sheetData>
  <mergeCells count="1">
    <mergeCell ref="A1:K1"/>
  </mergeCells>
  <conditionalFormatting sqref="I3:I31">
    <cfRule type="expression" priority="2" aboveAverage="0" equalAverage="0" bottom="0" percent="0" rank="0" text="" dxfId="0">
      <formula>I3="PASS"</formula>
    </cfRule>
    <cfRule type="expression" priority="3" aboveAverage="0" equalAverage="0" bottom="0" percent="0" rank="0" text="" dxfId="1">
      <formula>I3="FAIL"</formula>
    </cfRule>
    <cfRule type="expression" priority="4" aboveAverage="0" equalAverage="0" bottom="0" percent="0" rank="0" text="" dxfId="2">
      <formula>I3="PARTIAL"</formula>
    </cfRule>
    <cfRule type="expression" priority="5" aboveAverage="0" equalAverage="0" bottom="0" percent="0" rank="0" text="" dxfId="3">
      <formula>I3="NOT UP TO MARK"</formula>
    </cfRule>
    <cfRule type="expression" priority="6" aboveAverage="0" equalAverage="0" bottom="0" percent="0" rank="0" text="" dxfId="4">
      <formula>I3="BLOCKED"</formula>
    </cfRule>
  </conditionalFormatting>
  <dataValidations count="2">
    <dataValidation allowBlank="true" error="Choose from: PASS, FAIL, PARTIAL, NOT UP TO MARK, BLOCKED, PENDING" errorStyle="stop" errorTitle="Invalid Status" operator="between" prompt="Select test result" promptTitle="Status" showDropDown="false" showErrorMessage="false" showInputMessage="false" sqref="I3:I61" type="list">
      <formula1>"PASS,FAIL,PARTIAL,NOT UP TO MARK,BLOCKED,PENDING"</formula1>
      <formula2>0</formula2>
    </dataValidation>
    <dataValidation allowBlank="true" errorStyle="stop" operator="between" showDropDown="false" showErrorMessage="false" showInputMessage="false" sqref="J3:J6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7" min="5" style="0" width="38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54" t="s">
        <v>329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customFormat="false" ht="24" hidden="false" customHeight="true" outlineLevel="0" collapsed="false">
      <c r="A2" s="31" t="s">
        <v>65</v>
      </c>
      <c r="B2" s="31" t="s">
        <v>66</v>
      </c>
      <c r="C2" s="31" t="s">
        <v>67</v>
      </c>
      <c r="D2" s="31" t="s">
        <v>68</v>
      </c>
      <c r="E2" s="31" t="s">
        <v>69</v>
      </c>
      <c r="F2" s="31" t="s">
        <v>70</v>
      </c>
      <c r="G2" s="31" t="s">
        <v>71</v>
      </c>
      <c r="H2" s="31" t="s">
        <v>72</v>
      </c>
      <c r="I2" s="31" t="s">
        <v>17</v>
      </c>
      <c r="J2" s="31" t="s">
        <v>73</v>
      </c>
      <c r="K2" s="31" t="s">
        <v>74</v>
      </c>
    </row>
    <row r="3" customFormat="false" ht="51.75" hidden="false" customHeight="true" outlineLevel="0" collapsed="false">
      <c r="A3" s="55" t="s">
        <v>330</v>
      </c>
      <c r="B3" s="45" t="s">
        <v>31</v>
      </c>
      <c r="C3" s="26" t="s">
        <v>331</v>
      </c>
      <c r="D3" s="26" t="s">
        <v>332</v>
      </c>
      <c r="E3" s="26" t="s">
        <v>333</v>
      </c>
      <c r="F3" s="26" t="s">
        <v>334</v>
      </c>
      <c r="G3" s="26" t="s">
        <v>335</v>
      </c>
      <c r="H3" s="46"/>
      <c r="I3" s="47" t="s">
        <v>55</v>
      </c>
      <c r="J3" s="24" t="s">
        <v>82</v>
      </c>
      <c r="K3" s="26"/>
    </row>
    <row r="4" customFormat="false" ht="51.75" hidden="false" customHeight="true" outlineLevel="0" collapsed="false">
      <c r="A4" s="55" t="s">
        <v>336</v>
      </c>
      <c r="B4" s="45" t="s">
        <v>31</v>
      </c>
      <c r="C4" s="30" t="s">
        <v>337</v>
      </c>
      <c r="D4" s="30" t="s">
        <v>338</v>
      </c>
      <c r="E4" s="30" t="s">
        <v>339</v>
      </c>
      <c r="F4" s="30" t="s">
        <v>340</v>
      </c>
      <c r="G4" s="30" t="s">
        <v>341</v>
      </c>
      <c r="H4" s="46"/>
      <c r="I4" s="47" t="s">
        <v>55</v>
      </c>
      <c r="J4" s="28" t="s">
        <v>82</v>
      </c>
      <c r="K4" s="30"/>
    </row>
    <row r="5" customFormat="false" ht="51.75" hidden="false" customHeight="true" outlineLevel="0" collapsed="false">
      <c r="A5" s="55" t="s">
        <v>342</v>
      </c>
      <c r="B5" s="45" t="s">
        <v>31</v>
      </c>
      <c r="C5" s="26" t="s">
        <v>343</v>
      </c>
      <c r="D5" s="26" t="s">
        <v>344</v>
      </c>
      <c r="E5" s="26" t="s">
        <v>345</v>
      </c>
      <c r="F5" s="26" t="s">
        <v>346</v>
      </c>
      <c r="G5" s="26" t="s">
        <v>347</v>
      </c>
      <c r="H5" s="46"/>
      <c r="I5" s="47" t="s">
        <v>55</v>
      </c>
      <c r="J5" s="24" t="s">
        <v>82</v>
      </c>
      <c r="K5" s="26"/>
    </row>
    <row r="6" customFormat="false" ht="51.75" hidden="false" customHeight="true" outlineLevel="0" collapsed="false">
      <c r="A6" s="55" t="s">
        <v>348</v>
      </c>
      <c r="B6" s="45" t="s">
        <v>31</v>
      </c>
      <c r="C6" s="30" t="s">
        <v>349</v>
      </c>
      <c r="D6" s="30" t="s">
        <v>350</v>
      </c>
      <c r="E6" s="30" t="s">
        <v>351</v>
      </c>
      <c r="F6" s="30" t="s">
        <v>352</v>
      </c>
      <c r="G6" s="30" t="s">
        <v>353</v>
      </c>
      <c r="H6" s="46"/>
      <c r="I6" s="47" t="s">
        <v>55</v>
      </c>
      <c r="J6" s="28" t="s">
        <v>82</v>
      </c>
      <c r="K6" s="30"/>
    </row>
    <row r="7" customFormat="false" ht="51.75" hidden="false" customHeight="true" outlineLevel="0" collapsed="false">
      <c r="A7" s="55" t="s">
        <v>354</v>
      </c>
      <c r="B7" s="45" t="s">
        <v>31</v>
      </c>
      <c r="C7" s="26" t="s">
        <v>355</v>
      </c>
      <c r="D7" s="26" t="s">
        <v>356</v>
      </c>
      <c r="E7" s="26" t="s">
        <v>357</v>
      </c>
      <c r="F7" s="26" t="s">
        <v>358</v>
      </c>
      <c r="G7" s="26" t="s">
        <v>359</v>
      </c>
      <c r="H7" s="46"/>
      <c r="I7" s="47" t="s">
        <v>55</v>
      </c>
      <c r="J7" s="24" t="s">
        <v>149</v>
      </c>
      <c r="K7" s="26"/>
    </row>
    <row r="8" customFormat="false" ht="51.75" hidden="false" customHeight="true" outlineLevel="0" collapsed="false">
      <c r="A8" s="55" t="s">
        <v>360</v>
      </c>
      <c r="B8" s="45" t="s">
        <v>31</v>
      </c>
      <c r="C8" s="30" t="s">
        <v>361</v>
      </c>
      <c r="D8" s="30" t="s">
        <v>362</v>
      </c>
      <c r="E8" s="30" t="s">
        <v>363</v>
      </c>
      <c r="F8" s="30" t="s">
        <v>364</v>
      </c>
      <c r="G8" s="30" t="s">
        <v>365</v>
      </c>
      <c r="H8" s="46"/>
      <c r="I8" s="47" t="s">
        <v>55</v>
      </c>
      <c r="J8" s="28" t="s">
        <v>82</v>
      </c>
      <c r="K8" s="30"/>
    </row>
    <row r="9" customFormat="false" ht="51.75" hidden="false" customHeight="true" outlineLevel="0" collapsed="false">
      <c r="A9" s="55" t="s">
        <v>366</v>
      </c>
      <c r="B9" s="45" t="s">
        <v>31</v>
      </c>
      <c r="C9" s="26" t="s">
        <v>367</v>
      </c>
      <c r="D9" s="26" t="s">
        <v>368</v>
      </c>
      <c r="E9" s="26" t="s">
        <v>369</v>
      </c>
      <c r="F9" s="26" t="s">
        <v>370</v>
      </c>
      <c r="G9" s="26" t="s">
        <v>371</v>
      </c>
      <c r="H9" s="46"/>
      <c r="I9" s="47" t="s">
        <v>55</v>
      </c>
      <c r="J9" s="24" t="s">
        <v>82</v>
      </c>
      <c r="K9" s="26"/>
    </row>
  </sheetData>
  <mergeCells count="1">
    <mergeCell ref="A1:K1"/>
  </mergeCells>
  <conditionalFormatting sqref="I3:I30">
    <cfRule type="expression" priority="2" aboveAverage="0" equalAverage="0" bottom="0" percent="0" rank="0" text="" dxfId="0">
      <formula>I3="PASS"</formula>
    </cfRule>
    <cfRule type="expression" priority="3" aboveAverage="0" equalAverage="0" bottom="0" percent="0" rank="0" text="" dxfId="1">
      <formula>I3="FAIL"</formula>
    </cfRule>
    <cfRule type="expression" priority="4" aboveAverage="0" equalAverage="0" bottom="0" percent="0" rank="0" text="" dxfId="2">
      <formula>I3="PARTIAL"</formula>
    </cfRule>
    <cfRule type="expression" priority="5" aboveAverage="0" equalAverage="0" bottom="0" percent="0" rank="0" text="" dxfId="3">
      <formula>I3="NOT UP TO MARK"</formula>
    </cfRule>
    <cfRule type="expression" priority="6" aboveAverage="0" equalAverage="0" bottom="0" percent="0" rank="0" text="" dxfId="4">
      <formula>I3="BLOCKED"</formula>
    </cfRule>
  </conditionalFormatting>
  <dataValidations count="2">
    <dataValidation allowBlank="true" error="Choose from: PASS, FAIL, PARTIAL, NOT UP TO MARK, BLOCKED, PENDING" errorStyle="stop" errorTitle="Invalid Status" operator="between" prompt="Select test result" promptTitle="Status" showDropDown="false" showErrorMessage="false" showInputMessage="false" sqref="I3:I60" type="list">
      <formula1>"PASS,FAIL,PARTIAL,NOT UP TO MARK,BLOCKED,PENDING"</formula1>
      <formula2>0</formula2>
    </dataValidation>
    <dataValidation allowBlank="true" errorStyle="stop" operator="between" showDropDown="false" showErrorMessage="false" showInputMessage="false" sqref="J3:J6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7" min="5" style="0" width="38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54" t="s">
        <v>372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customFormat="false" ht="24" hidden="false" customHeight="true" outlineLevel="0" collapsed="false">
      <c r="A2" s="31" t="s">
        <v>65</v>
      </c>
      <c r="B2" s="31" t="s">
        <v>66</v>
      </c>
      <c r="C2" s="31" t="s">
        <v>67</v>
      </c>
      <c r="D2" s="31" t="s">
        <v>68</v>
      </c>
      <c r="E2" s="31" t="s">
        <v>69</v>
      </c>
      <c r="F2" s="31" t="s">
        <v>70</v>
      </c>
      <c r="G2" s="31" t="s">
        <v>71</v>
      </c>
      <c r="H2" s="31" t="s">
        <v>72</v>
      </c>
      <c r="I2" s="31" t="s">
        <v>17</v>
      </c>
      <c r="J2" s="31" t="s">
        <v>73</v>
      </c>
      <c r="K2" s="31" t="s">
        <v>74</v>
      </c>
    </row>
    <row r="3" customFormat="false" ht="51.75" hidden="false" customHeight="true" outlineLevel="0" collapsed="false">
      <c r="A3" s="55" t="s">
        <v>373</v>
      </c>
      <c r="B3" s="45" t="s">
        <v>374</v>
      </c>
      <c r="C3" s="26" t="s">
        <v>375</v>
      </c>
      <c r="D3" s="26" t="s">
        <v>376</v>
      </c>
      <c r="E3" s="26" t="s">
        <v>377</v>
      </c>
      <c r="F3" s="26" t="s">
        <v>378</v>
      </c>
      <c r="G3" s="26" t="s">
        <v>379</v>
      </c>
      <c r="H3" s="46"/>
      <c r="I3" s="47" t="s">
        <v>55</v>
      </c>
      <c r="J3" s="24" t="s">
        <v>82</v>
      </c>
      <c r="K3" s="26"/>
    </row>
    <row r="4" customFormat="false" ht="51.75" hidden="false" customHeight="true" outlineLevel="0" collapsed="false">
      <c r="A4" s="55" t="s">
        <v>380</v>
      </c>
      <c r="B4" s="45" t="s">
        <v>374</v>
      </c>
      <c r="C4" s="30" t="s">
        <v>381</v>
      </c>
      <c r="D4" s="30" t="s">
        <v>382</v>
      </c>
      <c r="E4" s="30" t="s">
        <v>383</v>
      </c>
      <c r="F4" s="30" t="s">
        <v>384</v>
      </c>
      <c r="G4" s="30" t="s">
        <v>385</v>
      </c>
      <c r="H4" s="46"/>
      <c r="I4" s="47" t="s">
        <v>55</v>
      </c>
      <c r="J4" s="28" t="s">
        <v>82</v>
      </c>
      <c r="K4" s="30"/>
    </row>
    <row r="5" customFormat="false" ht="51.75" hidden="false" customHeight="true" outlineLevel="0" collapsed="false">
      <c r="A5" s="55" t="s">
        <v>386</v>
      </c>
      <c r="B5" s="45" t="s">
        <v>374</v>
      </c>
      <c r="C5" s="26" t="s">
        <v>387</v>
      </c>
      <c r="D5" s="26" t="s">
        <v>388</v>
      </c>
      <c r="E5" s="26" t="s">
        <v>389</v>
      </c>
      <c r="F5" s="26" t="s">
        <v>390</v>
      </c>
      <c r="G5" s="26" t="s">
        <v>391</v>
      </c>
      <c r="H5" s="46"/>
      <c r="I5" s="47" t="s">
        <v>55</v>
      </c>
      <c r="J5" s="24" t="s">
        <v>82</v>
      </c>
      <c r="K5" s="26"/>
    </row>
    <row r="6" customFormat="false" ht="51.75" hidden="false" customHeight="true" outlineLevel="0" collapsed="false">
      <c r="A6" s="55" t="s">
        <v>392</v>
      </c>
      <c r="B6" s="45" t="s">
        <v>374</v>
      </c>
      <c r="C6" s="30" t="s">
        <v>393</v>
      </c>
      <c r="D6" s="30" t="s">
        <v>394</v>
      </c>
      <c r="E6" s="30" t="s">
        <v>395</v>
      </c>
      <c r="F6" s="30" t="s">
        <v>396</v>
      </c>
      <c r="G6" s="30" t="s">
        <v>397</v>
      </c>
      <c r="H6" s="46"/>
      <c r="I6" s="47" t="s">
        <v>55</v>
      </c>
      <c r="J6" s="28" t="s">
        <v>82</v>
      </c>
      <c r="K6" s="30"/>
    </row>
    <row r="7" customFormat="false" ht="51.75" hidden="false" customHeight="true" outlineLevel="0" collapsed="false">
      <c r="A7" s="55" t="s">
        <v>398</v>
      </c>
      <c r="B7" s="45" t="s">
        <v>374</v>
      </c>
      <c r="C7" s="26" t="s">
        <v>399</v>
      </c>
      <c r="D7" s="26" t="s">
        <v>400</v>
      </c>
      <c r="E7" s="26" t="s">
        <v>401</v>
      </c>
      <c r="F7" s="26" t="s">
        <v>402</v>
      </c>
      <c r="G7" s="26" t="s">
        <v>403</v>
      </c>
      <c r="H7" s="46"/>
      <c r="I7" s="47" t="s">
        <v>55</v>
      </c>
      <c r="J7" s="24" t="s">
        <v>82</v>
      </c>
      <c r="K7" s="26"/>
    </row>
    <row r="8" customFormat="false" ht="51.75" hidden="false" customHeight="true" outlineLevel="0" collapsed="false">
      <c r="A8" s="55" t="s">
        <v>404</v>
      </c>
      <c r="B8" s="45" t="s">
        <v>374</v>
      </c>
      <c r="C8" s="30" t="s">
        <v>405</v>
      </c>
      <c r="D8" s="30" t="s">
        <v>406</v>
      </c>
      <c r="E8" s="30" t="s">
        <v>407</v>
      </c>
      <c r="F8" s="30" t="s">
        <v>408</v>
      </c>
      <c r="G8" s="30" t="s">
        <v>409</v>
      </c>
      <c r="H8" s="46"/>
      <c r="I8" s="47" t="s">
        <v>55</v>
      </c>
      <c r="J8" s="28" t="s">
        <v>82</v>
      </c>
      <c r="K8" s="30"/>
    </row>
    <row r="9" customFormat="false" ht="51.75" hidden="false" customHeight="true" outlineLevel="0" collapsed="false">
      <c r="A9" s="55" t="s">
        <v>410</v>
      </c>
      <c r="B9" s="45" t="s">
        <v>374</v>
      </c>
      <c r="C9" s="26" t="s">
        <v>411</v>
      </c>
      <c r="D9" s="26" t="s">
        <v>412</v>
      </c>
      <c r="E9" s="26" t="s">
        <v>413</v>
      </c>
      <c r="F9" s="26" t="s">
        <v>414</v>
      </c>
      <c r="G9" s="26" t="s">
        <v>415</v>
      </c>
      <c r="H9" s="46"/>
      <c r="I9" s="47" t="s">
        <v>55</v>
      </c>
      <c r="J9" s="24" t="s">
        <v>82</v>
      </c>
      <c r="K9" s="26"/>
    </row>
    <row r="10" customFormat="false" ht="51.75" hidden="false" customHeight="true" outlineLevel="0" collapsed="false">
      <c r="A10" s="55" t="s">
        <v>416</v>
      </c>
      <c r="B10" s="45" t="s">
        <v>374</v>
      </c>
      <c r="C10" s="30" t="s">
        <v>417</v>
      </c>
      <c r="D10" s="30" t="s">
        <v>418</v>
      </c>
      <c r="E10" s="30" t="s">
        <v>419</v>
      </c>
      <c r="F10" s="30" t="s">
        <v>420</v>
      </c>
      <c r="G10" s="30" t="s">
        <v>421</v>
      </c>
      <c r="H10" s="46"/>
      <c r="I10" s="47" t="s">
        <v>55</v>
      </c>
      <c r="J10" s="28" t="s">
        <v>149</v>
      </c>
      <c r="K10" s="30"/>
    </row>
  </sheetData>
  <mergeCells count="1">
    <mergeCell ref="A1:K1"/>
  </mergeCells>
  <conditionalFormatting sqref="I3:I31">
    <cfRule type="expression" priority="2" aboveAverage="0" equalAverage="0" bottom="0" percent="0" rank="0" text="" dxfId="0">
      <formula>I3="PASS"</formula>
    </cfRule>
    <cfRule type="expression" priority="3" aboveAverage="0" equalAverage="0" bottom="0" percent="0" rank="0" text="" dxfId="1">
      <formula>I3="FAIL"</formula>
    </cfRule>
    <cfRule type="expression" priority="4" aboveAverage="0" equalAverage="0" bottom="0" percent="0" rank="0" text="" dxfId="2">
      <formula>I3="PARTIAL"</formula>
    </cfRule>
    <cfRule type="expression" priority="5" aboveAverage="0" equalAverage="0" bottom="0" percent="0" rank="0" text="" dxfId="3">
      <formula>I3="NOT UP TO MARK"</formula>
    </cfRule>
    <cfRule type="expression" priority="6" aboveAverage="0" equalAverage="0" bottom="0" percent="0" rank="0" text="" dxfId="4">
      <formula>I3="BLOCKED"</formula>
    </cfRule>
  </conditionalFormatting>
  <dataValidations count="2">
    <dataValidation allowBlank="true" error="Choose from: PASS, FAIL, PARTIAL, NOT UP TO MARK, BLOCKED, PENDING" errorStyle="stop" errorTitle="Invalid Status" operator="between" prompt="Select test result" promptTitle="Status" showDropDown="false" showErrorMessage="false" showInputMessage="false" sqref="I3:I61" type="list">
      <formula1>"PASS,FAIL,PARTIAL,NOT UP TO MARK,BLOCKED,PENDING"</formula1>
      <formula2>0</formula2>
    </dataValidation>
    <dataValidation allowBlank="true" errorStyle="stop" operator="between" showDropDown="false" showErrorMessage="false" showInputMessage="false" sqref="J3:J6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7" min="5" style="0" width="38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56" t="s">
        <v>422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customFormat="false" ht="24" hidden="false" customHeight="true" outlineLevel="0" collapsed="false">
      <c r="A2" s="31" t="s">
        <v>65</v>
      </c>
      <c r="B2" s="31" t="s">
        <v>66</v>
      </c>
      <c r="C2" s="31" t="s">
        <v>67</v>
      </c>
      <c r="D2" s="31" t="s">
        <v>68</v>
      </c>
      <c r="E2" s="31" t="s">
        <v>69</v>
      </c>
      <c r="F2" s="31" t="s">
        <v>70</v>
      </c>
      <c r="G2" s="31" t="s">
        <v>71</v>
      </c>
      <c r="H2" s="31" t="s">
        <v>72</v>
      </c>
      <c r="I2" s="31" t="s">
        <v>17</v>
      </c>
      <c r="J2" s="31" t="s">
        <v>73</v>
      </c>
      <c r="K2" s="31" t="s">
        <v>74</v>
      </c>
    </row>
    <row r="3" customFormat="false" ht="51.75" hidden="false" customHeight="true" outlineLevel="0" collapsed="false">
      <c r="A3" s="57" t="s">
        <v>423</v>
      </c>
      <c r="B3" s="45" t="s">
        <v>424</v>
      </c>
      <c r="C3" s="26" t="s">
        <v>425</v>
      </c>
      <c r="D3" s="26" t="s">
        <v>426</v>
      </c>
      <c r="E3" s="26" t="s">
        <v>427</v>
      </c>
      <c r="F3" s="26" t="s">
        <v>428</v>
      </c>
      <c r="G3" s="26" t="s">
        <v>429</v>
      </c>
      <c r="H3" s="46"/>
      <c r="I3" s="47" t="s">
        <v>55</v>
      </c>
      <c r="J3" s="24" t="s">
        <v>82</v>
      </c>
      <c r="K3" s="26"/>
    </row>
    <row r="4" customFormat="false" ht="51.75" hidden="false" customHeight="true" outlineLevel="0" collapsed="false">
      <c r="A4" s="57" t="s">
        <v>430</v>
      </c>
      <c r="B4" s="45" t="s">
        <v>424</v>
      </c>
      <c r="C4" s="30" t="s">
        <v>431</v>
      </c>
      <c r="D4" s="30" t="s">
        <v>432</v>
      </c>
      <c r="E4" s="30" t="s">
        <v>433</v>
      </c>
      <c r="F4" s="30" t="s">
        <v>434</v>
      </c>
      <c r="G4" s="30" t="s">
        <v>435</v>
      </c>
      <c r="H4" s="46"/>
      <c r="I4" s="47" t="s">
        <v>55</v>
      </c>
      <c r="J4" s="28" t="s">
        <v>82</v>
      </c>
      <c r="K4" s="30"/>
    </row>
    <row r="5" customFormat="false" ht="51.75" hidden="false" customHeight="true" outlineLevel="0" collapsed="false">
      <c r="A5" s="57" t="s">
        <v>436</v>
      </c>
      <c r="B5" s="45" t="s">
        <v>424</v>
      </c>
      <c r="C5" s="26" t="s">
        <v>437</v>
      </c>
      <c r="D5" s="26" t="s">
        <v>438</v>
      </c>
      <c r="E5" s="26" t="s">
        <v>439</v>
      </c>
      <c r="F5" s="26" t="s">
        <v>440</v>
      </c>
      <c r="G5" s="26" t="s">
        <v>441</v>
      </c>
      <c r="H5" s="46"/>
      <c r="I5" s="47" t="s">
        <v>55</v>
      </c>
      <c r="J5" s="24" t="s">
        <v>149</v>
      </c>
      <c r="K5" s="26"/>
    </row>
    <row r="6" customFormat="false" ht="51.75" hidden="false" customHeight="true" outlineLevel="0" collapsed="false">
      <c r="A6" s="57" t="s">
        <v>442</v>
      </c>
      <c r="B6" s="45" t="s">
        <v>424</v>
      </c>
      <c r="C6" s="30" t="s">
        <v>443</v>
      </c>
      <c r="D6" s="30" t="s">
        <v>444</v>
      </c>
      <c r="E6" s="30" t="s">
        <v>445</v>
      </c>
      <c r="F6" s="30" t="s">
        <v>446</v>
      </c>
      <c r="G6" s="30" t="s">
        <v>447</v>
      </c>
      <c r="H6" s="46"/>
      <c r="I6" s="47" t="s">
        <v>55</v>
      </c>
      <c r="J6" s="28" t="s">
        <v>149</v>
      </c>
      <c r="K6" s="30"/>
    </row>
    <row r="7" customFormat="false" ht="51.75" hidden="false" customHeight="true" outlineLevel="0" collapsed="false">
      <c r="A7" s="57" t="s">
        <v>448</v>
      </c>
      <c r="B7" s="45" t="s">
        <v>424</v>
      </c>
      <c r="C7" s="26" t="s">
        <v>449</v>
      </c>
      <c r="D7" s="26" t="s">
        <v>450</v>
      </c>
      <c r="E7" s="26" t="s">
        <v>451</v>
      </c>
      <c r="F7" s="26" t="s">
        <v>452</v>
      </c>
      <c r="G7" s="26" t="s">
        <v>453</v>
      </c>
      <c r="H7" s="46"/>
      <c r="I7" s="47" t="s">
        <v>55</v>
      </c>
      <c r="J7" s="24" t="s">
        <v>82</v>
      </c>
      <c r="K7" s="26"/>
    </row>
    <row r="8" customFormat="false" ht="51.75" hidden="false" customHeight="true" outlineLevel="0" collapsed="false">
      <c r="A8" s="57" t="s">
        <v>454</v>
      </c>
      <c r="B8" s="45" t="s">
        <v>424</v>
      </c>
      <c r="C8" s="30" t="s">
        <v>455</v>
      </c>
      <c r="D8" s="30" t="s">
        <v>456</v>
      </c>
      <c r="E8" s="30" t="s">
        <v>457</v>
      </c>
      <c r="F8" s="30" t="s">
        <v>458</v>
      </c>
      <c r="G8" s="30" t="s">
        <v>459</v>
      </c>
      <c r="H8" s="46"/>
      <c r="I8" s="47" t="s">
        <v>55</v>
      </c>
      <c r="J8" s="28" t="s">
        <v>149</v>
      </c>
      <c r="K8" s="30"/>
    </row>
  </sheetData>
  <mergeCells count="1">
    <mergeCell ref="A1:K1"/>
  </mergeCells>
  <conditionalFormatting sqref="I3:I29">
    <cfRule type="expression" priority="2" aboveAverage="0" equalAverage="0" bottom="0" percent="0" rank="0" text="" dxfId="0">
      <formula>I3="PASS"</formula>
    </cfRule>
    <cfRule type="expression" priority="3" aboveAverage="0" equalAverage="0" bottom="0" percent="0" rank="0" text="" dxfId="1">
      <formula>I3="FAIL"</formula>
    </cfRule>
    <cfRule type="expression" priority="4" aboveAverage="0" equalAverage="0" bottom="0" percent="0" rank="0" text="" dxfId="2">
      <formula>I3="PARTIAL"</formula>
    </cfRule>
    <cfRule type="expression" priority="5" aboveAverage="0" equalAverage="0" bottom="0" percent="0" rank="0" text="" dxfId="3">
      <formula>I3="NOT UP TO MARK"</formula>
    </cfRule>
    <cfRule type="expression" priority="6" aboveAverage="0" equalAverage="0" bottom="0" percent="0" rank="0" text="" dxfId="4">
      <formula>I3="BLOCKED"</formula>
    </cfRule>
  </conditionalFormatting>
  <dataValidations count="2">
    <dataValidation allowBlank="true" error="Choose from: PASS, FAIL, PARTIAL, NOT UP TO MARK, BLOCKED, PENDING" errorStyle="stop" errorTitle="Invalid Status" operator="between" prompt="Select test result" promptTitle="Status" showDropDown="false" showErrorMessage="false" showInputMessage="false" sqref="I3:I59" type="list">
      <formula1>"PASS,FAIL,PARTIAL,NOT UP TO MARK,BLOCKED,PENDING"</formula1>
      <formula2>0</formula2>
    </dataValidation>
    <dataValidation allowBlank="true" errorStyle="stop" operator="between" showDropDown="false" showErrorMessage="false" showInputMessage="false" sqref="J3:J5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7" min="5" style="0" width="38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43" t="s">
        <v>460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customFormat="false" ht="24" hidden="false" customHeight="true" outlineLevel="0" collapsed="false">
      <c r="A2" s="31" t="s">
        <v>65</v>
      </c>
      <c r="B2" s="31" t="s">
        <v>66</v>
      </c>
      <c r="C2" s="31" t="s">
        <v>67</v>
      </c>
      <c r="D2" s="31" t="s">
        <v>68</v>
      </c>
      <c r="E2" s="31" t="s">
        <v>69</v>
      </c>
      <c r="F2" s="31" t="s">
        <v>70</v>
      </c>
      <c r="G2" s="31" t="s">
        <v>71</v>
      </c>
      <c r="H2" s="31" t="s">
        <v>72</v>
      </c>
      <c r="I2" s="31" t="s">
        <v>17</v>
      </c>
      <c r="J2" s="31" t="s">
        <v>73</v>
      </c>
      <c r="K2" s="31" t="s">
        <v>74</v>
      </c>
    </row>
    <row r="3" customFormat="false" ht="51.75" hidden="false" customHeight="true" outlineLevel="0" collapsed="false">
      <c r="A3" s="44" t="s">
        <v>461</v>
      </c>
      <c r="B3" s="45" t="s">
        <v>462</v>
      </c>
      <c r="C3" s="26" t="s">
        <v>463</v>
      </c>
      <c r="D3" s="26" t="s">
        <v>464</v>
      </c>
      <c r="E3" s="26" t="s">
        <v>465</v>
      </c>
      <c r="F3" s="26" t="s">
        <v>466</v>
      </c>
      <c r="G3" s="26" t="s">
        <v>467</v>
      </c>
      <c r="H3" s="46"/>
      <c r="I3" s="47" t="s">
        <v>55</v>
      </c>
      <c r="J3" s="24" t="s">
        <v>82</v>
      </c>
      <c r="K3" s="26"/>
    </row>
    <row r="4" customFormat="false" ht="51.75" hidden="false" customHeight="true" outlineLevel="0" collapsed="false">
      <c r="A4" s="44" t="s">
        <v>468</v>
      </c>
      <c r="B4" s="45" t="s">
        <v>462</v>
      </c>
      <c r="C4" s="30" t="s">
        <v>469</v>
      </c>
      <c r="D4" s="30" t="s">
        <v>470</v>
      </c>
      <c r="E4" s="30" t="s">
        <v>471</v>
      </c>
      <c r="F4" s="30" t="s">
        <v>472</v>
      </c>
      <c r="G4" s="30" t="s">
        <v>473</v>
      </c>
      <c r="H4" s="46"/>
      <c r="I4" s="47" t="s">
        <v>55</v>
      </c>
      <c r="J4" s="28" t="s">
        <v>82</v>
      </c>
      <c r="K4" s="30"/>
    </row>
    <row r="5" customFormat="false" ht="51.75" hidden="false" customHeight="true" outlineLevel="0" collapsed="false">
      <c r="A5" s="44" t="s">
        <v>474</v>
      </c>
      <c r="B5" s="45" t="s">
        <v>462</v>
      </c>
      <c r="C5" s="26" t="s">
        <v>475</v>
      </c>
      <c r="D5" s="26" t="s">
        <v>476</v>
      </c>
      <c r="E5" s="26" t="s">
        <v>477</v>
      </c>
      <c r="F5" s="26" t="s">
        <v>478</v>
      </c>
      <c r="G5" s="26" t="s">
        <v>479</v>
      </c>
      <c r="H5" s="46"/>
      <c r="I5" s="47" t="s">
        <v>55</v>
      </c>
      <c r="J5" s="24" t="s">
        <v>82</v>
      </c>
      <c r="K5" s="26"/>
    </row>
    <row r="6" customFormat="false" ht="51.75" hidden="false" customHeight="true" outlineLevel="0" collapsed="false">
      <c r="A6" s="44" t="s">
        <v>480</v>
      </c>
      <c r="B6" s="45" t="s">
        <v>481</v>
      </c>
      <c r="C6" s="30" t="s">
        <v>482</v>
      </c>
      <c r="D6" s="30" t="s">
        <v>483</v>
      </c>
      <c r="E6" s="30" t="s">
        <v>484</v>
      </c>
      <c r="F6" s="30" t="s">
        <v>485</v>
      </c>
      <c r="G6" s="30" t="s">
        <v>486</v>
      </c>
      <c r="H6" s="46"/>
      <c r="I6" s="47" t="s">
        <v>55</v>
      </c>
      <c r="J6" s="28" t="s">
        <v>82</v>
      </c>
      <c r="K6" s="30"/>
    </row>
    <row r="7" customFormat="false" ht="51.75" hidden="false" customHeight="true" outlineLevel="0" collapsed="false">
      <c r="A7" s="44" t="s">
        <v>487</v>
      </c>
      <c r="B7" s="45" t="s">
        <v>481</v>
      </c>
      <c r="C7" s="26" t="s">
        <v>488</v>
      </c>
      <c r="D7" s="26" t="s">
        <v>489</v>
      </c>
      <c r="E7" s="26" t="s">
        <v>490</v>
      </c>
      <c r="F7" s="26" t="s">
        <v>491</v>
      </c>
      <c r="G7" s="26" t="s">
        <v>492</v>
      </c>
      <c r="H7" s="46"/>
      <c r="I7" s="47" t="s">
        <v>55</v>
      </c>
      <c r="J7" s="24" t="s">
        <v>82</v>
      </c>
      <c r="K7" s="26"/>
    </row>
    <row r="8" customFormat="false" ht="51.75" hidden="false" customHeight="true" outlineLevel="0" collapsed="false">
      <c r="A8" s="44" t="s">
        <v>493</v>
      </c>
      <c r="B8" s="45" t="s">
        <v>481</v>
      </c>
      <c r="C8" s="30" t="s">
        <v>494</v>
      </c>
      <c r="D8" s="30" t="s">
        <v>495</v>
      </c>
      <c r="E8" s="30" t="s">
        <v>496</v>
      </c>
      <c r="F8" s="30" t="s">
        <v>497</v>
      </c>
      <c r="G8" s="30" t="s">
        <v>498</v>
      </c>
      <c r="H8" s="46"/>
      <c r="I8" s="47" t="s">
        <v>55</v>
      </c>
      <c r="J8" s="28" t="s">
        <v>82</v>
      </c>
      <c r="K8" s="30"/>
    </row>
    <row r="9" customFormat="false" ht="51.75" hidden="false" customHeight="true" outlineLevel="0" collapsed="false">
      <c r="A9" s="44" t="s">
        <v>499</v>
      </c>
      <c r="B9" s="45" t="s">
        <v>462</v>
      </c>
      <c r="C9" s="26" t="s">
        <v>500</v>
      </c>
      <c r="D9" s="26" t="s">
        <v>501</v>
      </c>
      <c r="E9" s="26" t="s">
        <v>502</v>
      </c>
      <c r="F9" s="26" t="s">
        <v>503</v>
      </c>
      <c r="G9" s="26" t="s">
        <v>504</v>
      </c>
      <c r="H9" s="46"/>
      <c r="I9" s="47" t="s">
        <v>55</v>
      </c>
      <c r="J9" s="24" t="s">
        <v>149</v>
      </c>
      <c r="K9" s="26"/>
    </row>
  </sheetData>
  <mergeCells count="1">
    <mergeCell ref="A1:K1"/>
  </mergeCells>
  <conditionalFormatting sqref="I3:I30">
    <cfRule type="expression" priority="2" aboveAverage="0" equalAverage="0" bottom="0" percent="0" rank="0" text="" dxfId="0">
      <formula>I3="PASS"</formula>
    </cfRule>
    <cfRule type="expression" priority="3" aboveAverage="0" equalAverage="0" bottom="0" percent="0" rank="0" text="" dxfId="1">
      <formula>I3="FAIL"</formula>
    </cfRule>
    <cfRule type="expression" priority="4" aboveAverage="0" equalAverage="0" bottom="0" percent="0" rank="0" text="" dxfId="2">
      <formula>I3="PARTIAL"</formula>
    </cfRule>
    <cfRule type="expression" priority="5" aboveAverage="0" equalAverage="0" bottom="0" percent="0" rank="0" text="" dxfId="3">
      <formula>I3="NOT UP TO MARK"</formula>
    </cfRule>
    <cfRule type="expression" priority="6" aboveAverage="0" equalAverage="0" bottom="0" percent="0" rank="0" text="" dxfId="4">
      <formula>I3="BLOCKED"</formula>
    </cfRule>
  </conditionalFormatting>
  <dataValidations count="2">
    <dataValidation allowBlank="true" error="Choose from: PASS, FAIL, PARTIAL, NOT UP TO MARK, BLOCKED, PENDING" errorStyle="stop" errorTitle="Invalid Status" operator="between" prompt="Select test result" promptTitle="Status" showDropDown="false" showErrorMessage="false" showInputMessage="false" sqref="I3:I60" type="list">
      <formula1>"PASS,FAIL,PARTIAL,NOT UP TO MARK,BLOCKED,PENDING"</formula1>
      <formula2>0</formula2>
    </dataValidation>
    <dataValidation allowBlank="true" errorStyle="stop" operator="between" showDropDown="false" showErrorMessage="false" showInputMessage="false" sqref="J3:J6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45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5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58" t="s">
        <v>505</v>
      </c>
      <c r="B1" s="58"/>
      <c r="C1" s="58"/>
      <c r="D1" s="58"/>
      <c r="E1" s="58"/>
      <c r="F1" s="58"/>
      <c r="G1" s="58"/>
      <c r="H1" s="58"/>
      <c r="I1" s="58"/>
      <c r="J1" s="58"/>
    </row>
    <row r="2" customFormat="false" ht="24" hidden="false" customHeight="true" outlineLevel="0" collapsed="false">
      <c r="A2" s="31" t="s">
        <v>506</v>
      </c>
      <c r="B2" s="31" t="s">
        <v>507</v>
      </c>
      <c r="C2" s="31" t="s">
        <v>66</v>
      </c>
      <c r="D2" s="31" t="s">
        <v>65</v>
      </c>
      <c r="E2" s="31" t="s">
        <v>508</v>
      </c>
      <c r="F2" s="31" t="s">
        <v>73</v>
      </c>
      <c r="G2" s="31" t="s">
        <v>509</v>
      </c>
      <c r="H2" s="31" t="s">
        <v>510</v>
      </c>
      <c r="I2" s="31" t="s">
        <v>511</v>
      </c>
      <c r="J2" s="31" t="s">
        <v>512</v>
      </c>
    </row>
    <row r="3" customFormat="false" ht="45" hidden="false" customHeight="true" outlineLevel="0" collapsed="false">
      <c r="A3" s="26"/>
      <c r="B3" s="26"/>
      <c r="C3" s="26" t="s">
        <v>76</v>
      </c>
      <c r="D3" s="26" t="s">
        <v>101</v>
      </c>
      <c r="E3" s="26" t="s">
        <v>513</v>
      </c>
      <c r="F3" s="26" t="s">
        <v>82</v>
      </c>
      <c r="G3" s="26" t="s">
        <v>514</v>
      </c>
      <c r="H3" s="26" t="s">
        <v>515</v>
      </c>
      <c r="I3" s="26" t="s">
        <v>516</v>
      </c>
      <c r="J3" s="26" t="s">
        <v>517</v>
      </c>
    </row>
    <row r="4" customFormat="false" ht="45" hidden="false" customHeight="true" outlineLevel="0" collapsed="false">
      <c r="A4" s="30"/>
      <c r="B4" s="30"/>
      <c r="C4" s="30" t="s">
        <v>22</v>
      </c>
      <c r="D4" s="30" t="s">
        <v>175</v>
      </c>
      <c r="E4" s="30"/>
      <c r="F4" s="30" t="s">
        <v>149</v>
      </c>
      <c r="G4" s="30"/>
      <c r="H4" s="30"/>
      <c r="I4" s="30"/>
      <c r="J4" s="30"/>
    </row>
    <row r="5" customFormat="false" ht="45" hidden="false" customHeight="true" outlineLevel="0" collapsed="false">
      <c r="A5" s="26"/>
      <c r="B5" s="26"/>
      <c r="C5" s="26" t="s">
        <v>28</v>
      </c>
      <c r="D5" s="26" t="s">
        <v>281</v>
      </c>
      <c r="E5" s="26"/>
      <c r="F5" s="26" t="s">
        <v>82</v>
      </c>
      <c r="G5" s="26"/>
      <c r="H5" s="26"/>
      <c r="I5" s="26"/>
      <c r="J5" s="26"/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F3:F100" type="list">
      <formula1>"High,Medium,Low,Critical"</formula1>
      <formula2>0</formula2>
    </dataValidation>
    <dataValidation allowBlank="true" errorStyle="stop" operator="between" showDropDown="false" showErrorMessage="false" showInputMessage="false" sqref="H3:H100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33.75" hidden="false" customHeight="true" outlineLevel="0" collapsed="false">
      <c r="A1" s="59" t="s">
        <v>518</v>
      </c>
      <c r="B1" s="59"/>
      <c r="C1" s="59"/>
      <c r="D1" s="59"/>
      <c r="E1" s="59"/>
      <c r="F1" s="59"/>
    </row>
    <row r="3" customFormat="false" ht="25.5" hidden="false" customHeight="true" outlineLevel="0" collapsed="false">
      <c r="A3" s="60" t="s">
        <v>519</v>
      </c>
      <c r="B3" s="60"/>
      <c r="C3" s="60"/>
      <c r="D3" s="60"/>
      <c r="E3" s="60"/>
      <c r="F3" s="60"/>
    </row>
    <row r="4" customFormat="false" ht="19.5" hidden="false" customHeight="true" outlineLevel="0" collapsed="false">
      <c r="A4" s="61" t="s">
        <v>520</v>
      </c>
      <c r="B4" s="61"/>
      <c r="C4" s="61"/>
      <c r="D4" s="61"/>
      <c r="E4" s="61"/>
      <c r="F4" s="61"/>
    </row>
    <row r="5" customFormat="false" ht="19.5" hidden="false" customHeight="true" outlineLevel="0" collapsed="false">
      <c r="A5" s="62" t="s">
        <v>521</v>
      </c>
      <c r="B5" s="62"/>
      <c r="C5" s="62"/>
      <c r="D5" s="62"/>
      <c r="E5" s="62"/>
      <c r="F5" s="62"/>
    </row>
    <row r="6" customFormat="false" ht="19.5" hidden="false" customHeight="true" outlineLevel="0" collapsed="false">
      <c r="A6" s="61" t="s">
        <v>522</v>
      </c>
      <c r="B6" s="61"/>
      <c r="C6" s="61"/>
      <c r="D6" s="61"/>
      <c r="E6" s="61"/>
      <c r="F6" s="61"/>
    </row>
    <row r="7" customFormat="false" ht="19.5" hidden="false" customHeight="true" outlineLevel="0" collapsed="false">
      <c r="A7" s="62" t="s">
        <v>523</v>
      </c>
      <c r="B7" s="62"/>
      <c r="C7" s="62"/>
      <c r="D7" s="62"/>
      <c r="E7" s="62"/>
      <c r="F7" s="62"/>
    </row>
    <row r="8" customFormat="false" ht="19.5" hidden="false" customHeight="true" outlineLevel="0" collapsed="false">
      <c r="A8" s="61" t="s">
        <v>524</v>
      </c>
      <c r="B8" s="61"/>
      <c r="C8" s="61"/>
      <c r="D8" s="61"/>
      <c r="E8" s="61"/>
      <c r="F8" s="61"/>
    </row>
    <row r="9" customFormat="false" ht="19.5" hidden="false" customHeight="true" outlineLevel="0" collapsed="false">
      <c r="A9" s="62" t="s">
        <v>525</v>
      </c>
      <c r="B9" s="62"/>
      <c r="C9" s="62"/>
      <c r="D9" s="62"/>
      <c r="E9" s="62"/>
      <c r="F9" s="62"/>
    </row>
    <row r="11" customFormat="false" ht="25.5" hidden="false" customHeight="true" outlineLevel="0" collapsed="false">
      <c r="A11" s="63" t="s">
        <v>526</v>
      </c>
      <c r="B11" s="63"/>
      <c r="C11" s="63"/>
      <c r="D11" s="63"/>
      <c r="E11" s="63"/>
      <c r="F11" s="63"/>
    </row>
    <row r="12" customFormat="false" ht="19.5" hidden="false" customHeight="true" outlineLevel="0" collapsed="false">
      <c r="A12" s="61" t="s">
        <v>527</v>
      </c>
      <c r="B12" s="61"/>
      <c r="C12" s="61"/>
      <c r="D12" s="61"/>
      <c r="E12" s="61"/>
      <c r="F12" s="61"/>
    </row>
    <row r="13" customFormat="false" ht="19.5" hidden="false" customHeight="true" outlineLevel="0" collapsed="false">
      <c r="A13" s="62" t="s">
        <v>528</v>
      </c>
      <c r="B13" s="62"/>
      <c r="C13" s="62"/>
      <c r="D13" s="62"/>
      <c r="E13" s="62"/>
      <c r="F13" s="62"/>
    </row>
    <row r="14" customFormat="false" ht="19.5" hidden="false" customHeight="true" outlineLevel="0" collapsed="false">
      <c r="A14" s="61" t="s">
        <v>529</v>
      </c>
      <c r="B14" s="61"/>
      <c r="C14" s="61"/>
      <c r="D14" s="61"/>
      <c r="E14" s="61"/>
      <c r="F14" s="61"/>
    </row>
    <row r="15" customFormat="false" ht="19.5" hidden="false" customHeight="true" outlineLevel="0" collapsed="false">
      <c r="A15" s="62" t="s">
        <v>530</v>
      </c>
      <c r="B15" s="62"/>
      <c r="C15" s="62"/>
      <c r="D15" s="62"/>
      <c r="E15" s="62"/>
      <c r="F15" s="62"/>
    </row>
    <row r="16" customFormat="false" ht="19.5" hidden="false" customHeight="true" outlineLevel="0" collapsed="false">
      <c r="A16" s="61" t="s">
        <v>531</v>
      </c>
      <c r="B16" s="61"/>
      <c r="C16" s="61"/>
      <c r="D16" s="61"/>
      <c r="E16" s="61"/>
      <c r="F16" s="61"/>
    </row>
    <row r="17" customFormat="false" ht="19.5" hidden="false" customHeight="true" outlineLevel="0" collapsed="false">
      <c r="A17" s="62" t="s">
        <v>532</v>
      </c>
      <c r="B17" s="62"/>
      <c r="C17" s="62"/>
      <c r="D17" s="62"/>
      <c r="E17" s="62"/>
      <c r="F17" s="62"/>
    </row>
    <row r="19" customFormat="false" ht="25.5" hidden="false" customHeight="true" outlineLevel="0" collapsed="false">
      <c r="A19" s="64" t="s">
        <v>533</v>
      </c>
      <c r="B19" s="64"/>
      <c r="C19" s="64"/>
      <c r="D19" s="64"/>
      <c r="E19" s="64"/>
      <c r="F19" s="64"/>
    </row>
    <row r="20" customFormat="false" ht="19.5" hidden="false" customHeight="true" outlineLevel="0" collapsed="false">
      <c r="A20" s="61" t="s">
        <v>534</v>
      </c>
      <c r="B20" s="61"/>
      <c r="C20" s="61"/>
      <c r="D20" s="61"/>
      <c r="E20" s="61"/>
      <c r="F20" s="61"/>
    </row>
    <row r="21" customFormat="false" ht="19.5" hidden="false" customHeight="true" outlineLevel="0" collapsed="false">
      <c r="A21" s="62" t="s">
        <v>535</v>
      </c>
      <c r="B21" s="62"/>
      <c r="C21" s="62"/>
      <c r="D21" s="62"/>
      <c r="E21" s="62"/>
      <c r="F21" s="62"/>
    </row>
    <row r="22" customFormat="false" ht="19.5" hidden="false" customHeight="true" outlineLevel="0" collapsed="false">
      <c r="A22" s="61" t="s">
        <v>536</v>
      </c>
      <c r="B22" s="61"/>
      <c r="C22" s="61"/>
      <c r="D22" s="61"/>
      <c r="E22" s="61"/>
      <c r="F22" s="61"/>
    </row>
    <row r="23" customFormat="false" ht="19.5" hidden="false" customHeight="true" outlineLevel="0" collapsed="false">
      <c r="A23" s="62" t="s">
        <v>537</v>
      </c>
      <c r="B23" s="62"/>
      <c r="C23" s="62"/>
      <c r="D23" s="62"/>
      <c r="E23" s="62"/>
      <c r="F23" s="62"/>
    </row>
    <row r="24" customFormat="false" ht="19.5" hidden="false" customHeight="true" outlineLevel="0" collapsed="false">
      <c r="A24" s="61" t="s">
        <v>538</v>
      </c>
      <c r="B24" s="61"/>
      <c r="C24" s="61"/>
      <c r="D24" s="61"/>
      <c r="E24" s="61"/>
      <c r="F24" s="61"/>
    </row>
    <row r="25" customFormat="false" ht="19.5" hidden="false" customHeight="true" outlineLevel="0" collapsed="false">
      <c r="A25" s="62" t="s">
        <v>539</v>
      </c>
      <c r="B25" s="62"/>
      <c r="C25" s="62"/>
      <c r="D25" s="62"/>
      <c r="E25" s="62"/>
      <c r="F25" s="62"/>
    </row>
    <row r="27" customFormat="false" ht="25.5" hidden="false" customHeight="true" outlineLevel="0" collapsed="false">
      <c r="A27" s="65" t="s">
        <v>540</v>
      </c>
      <c r="B27" s="65"/>
      <c r="C27" s="65"/>
      <c r="D27" s="65"/>
      <c r="E27" s="65"/>
      <c r="F27" s="65"/>
    </row>
    <row r="28" customFormat="false" ht="19.5" hidden="false" customHeight="true" outlineLevel="0" collapsed="false">
      <c r="A28" s="61" t="s">
        <v>541</v>
      </c>
      <c r="B28" s="61"/>
      <c r="C28" s="61"/>
      <c r="D28" s="61"/>
      <c r="E28" s="61"/>
      <c r="F28" s="61"/>
    </row>
    <row r="29" customFormat="false" ht="19.5" hidden="false" customHeight="true" outlineLevel="0" collapsed="false">
      <c r="A29" s="62" t="s">
        <v>542</v>
      </c>
      <c r="B29" s="62"/>
      <c r="C29" s="62"/>
      <c r="D29" s="62"/>
      <c r="E29" s="62"/>
      <c r="F29" s="62"/>
    </row>
    <row r="30" customFormat="false" ht="19.5" hidden="false" customHeight="true" outlineLevel="0" collapsed="false">
      <c r="A30" s="61" t="s">
        <v>543</v>
      </c>
      <c r="B30" s="61"/>
      <c r="C30" s="61"/>
      <c r="D30" s="61"/>
      <c r="E30" s="61"/>
      <c r="F30" s="61"/>
    </row>
    <row r="31" customFormat="false" ht="19.5" hidden="false" customHeight="true" outlineLevel="0" collapsed="false">
      <c r="A31" s="62" t="s">
        <v>544</v>
      </c>
      <c r="B31" s="62"/>
      <c r="C31" s="62"/>
      <c r="D31" s="62"/>
      <c r="E31" s="62"/>
      <c r="F31" s="62"/>
    </row>
    <row r="32" customFormat="false" ht="19.5" hidden="false" customHeight="true" outlineLevel="0" collapsed="false">
      <c r="A32" s="61" t="s">
        <v>545</v>
      </c>
      <c r="B32" s="61"/>
      <c r="C32" s="61"/>
      <c r="D32" s="61"/>
      <c r="E32" s="61"/>
      <c r="F32" s="61"/>
    </row>
    <row r="34" customFormat="false" ht="25.5" hidden="false" customHeight="true" outlineLevel="0" collapsed="false">
      <c r="A34" s="66" t="s">
        <v>546</v>
      </c>
      <c r="B34" s="66"/>
      <c r="C34" s="66"/>
      <c r="D34" s="66"/>
      <c r="E34" s="66"/>
      <c r="F34" s="66"/>
    </row>
    <row r="35" customFormat="false" ht="19.5" hidden="false" customHeight="true" outlineLevel="0" collapsed="false">
      <c r="A35" s="62" t="s">
        <v>547</v>
      </c>
      <c r="B35" s="62"/>
      <c r="C35" s="62"/>
      <c r="D35" s="62"/>
      <c r="E35" s="62"/>
      <c r="F35" s="62"/>
    </row>
    <row r="36" customFormat="false" ht="19.5" hidden="false" customHeight="true" outlineLevel="0" collapsed="false">
      <c r="A36" s="61" t="s">
        <v>548</v>
      </c>
      <c r="B36" s="61"/>
      <c r="C36" s="61"/>
      <c r="D36" s="61"/>
      <c r="E36" s="61"/>
      <c r="F36" s="61"/>
    </row>
    <row r="37" customFormat="false" ht="19.5" hidden="false" customHeight="true" outlineLevel="0" collapsed="false">
      <c r="A37" s="62" t="s">
        <v>549</v>
      </c>
      <c r="B37" s="62"/>
      <c r="C37" s="62"/>
      <c r="D37" s="62"/>
      <c r="E37" s="62"/>
      <c r="F37" s="62"/>
    </row>
    <row r="38" customFormat="false" ht="19.5" hidden="false" customHeight="true" outlineLevel="0" collapsed="false">
      <c r="A38" s="61" t="s">
        <v>550</v>
      </c>
      <c r="B38" s="61"/>
      <c r="C38" s="61"/>
      <c r="D38" s="61"/>
      <c r="E38" s="61"/>
      <c r="F38" s="61"/>
    </row>
    <row r="39" customFormat="false" ht="19.5" hidden="false" customHeight="true" outlineLevel="0" collapsed="false">
      <c r="A39" s="62" t="s">
        <v>551</v>
      </c>
      <c r="B39" s="62"/>
      <c r="C39" s="62"/>
      <c r="D39" s="62"/>
      <c r="E39" s="62"/>
      <c r="F39" s="62"/>
    </row>
    <row r="40" customFormat="false" ht="19.5" hidden="false" customHeight="true" outlineLevel="0" collapsed="false">
      <c r="A40" s="61" t="s">
        <v>552</v>
      </c>
      <c r="B40" s="61"/>
      <c r="C40" s="61"/>
      <c r="D40" s="61"/>
      <c r="E40" s="61"/>
      <c r="F40" s="61"/>
    </row>
    <row r="42" customFormat="false" ht="25.5" hidden="false" customHeight="true" outlineLevel="0" collapsed="false">
      <c r="A42" s="67" t="s">
        <v>553</v>
      </c>
      <c r="B42" s="67"/>
      <c r="C42" s="67"/>
      <c r="D42" s="67"/>
      <c r="E42" s="67"/>
      <c r="F42" s="67"/>
    </row>
    <row r="43" customFormat="false" ht="19.5" hidden="false" customHeight="true" outlineLevel="0" collapsed="false">
      <c r="A43" s="62" t="s">
        <v>554</v>
      </c>
      <c r="B43" s="62"/>
      <c r="C43" s="62"/>
      <c r="D43" s="62"/>
      <c r="E43" s="62"/>
      <c r="F43" s="62"/>
    </row>
    <row r="44" customFormat="false" ht="19.5" hidden="false" customHeight="true" outlineLevel="0" collapsed="false">
      <c r="A44" s="61" t="s">
        <v>555</v>
      </c>
      <c r="B44" s="61"/>
      <c r="C44" s="61"/>
      <c r="D44" s="61"/>
      <c r="E44" s="61"/>
      <c r="F44" s="61"/>
    </row>
    <row r="45" customFormat="false" ht="19.5" hidden="false" customHeight="true" outlineLevel="0" collapsed="false">
      <c r="A45" s="62" t="s">
        <v>556</v>
      </c>
      <c r="B45" s="62"/>
      <c r="C45" s="62"/>
      <c r="D45" s="62"/>
      <c r="E45" s="62"/>
      <c r="F45" s="62"/>
    </row>
    <row r="46" customFormat="false" ht="19.5" hidden="false" customHeight="true" outlineLevel="0" collapsed="false">
      <c r="A46" s="61" t="s">
        <v>557</v>
      </c>
      <c r="B46" s="61"/>
      <c r="C46" s="61"/>
      <c r="D46" s="61"/>
      <c r="E46" s="61"/>
      <c r="F46" s="61"/>
    </row>
    <row r="47" customFormat="false" ht="19.5" hidden="false" customHeight="true" outlineLevel="0" collapsed="false">
      <c r="A47" s="62" t="s">
        <v>558</v>
      </c>
      <c r="B47" s="62"/>
      <c r="C47" s="62"/>
      <c r="D47" s="62"/>
      <c r="E47" s="62"/>
      <c r="F47" s="62"/>
    </row>
    <row r="48" customFormat="false" ht="19.5" hidden="false" customHeight="true" outlineLevel="0" collapsed="false">
      <c r="A48" s="61" t="s">
        <v>559</v>
      </c>
      <c r="B48" s="61"/>
      <c r="C48" s="61"/>
      <c r="D48" s="61"/>
      <c r="E48" s="61"/>
      <c r="F48" s="61"/>
    </row>
  </sheetData>
  <mergeCells count="42">
    <mergeCell ref="A1:F1"/>
    <mergeCell ref="A3:F3"/>
    <mergeCell ref="A4:F4"/>
    <mergeCell ref="A5:F5"/>
    <mergeCell ref="A6:F6"/>
    <mergeCell ref="A7:F7"/>
    <mergeCell ref="A8:F8"/>
    <mergeCell ref="A9:F9"/>
    <mergeCell ref="A11:F11"/>
    <mergeCell ref="A12:F12"/>
    <mergeCell ref="A13:F13"/>
    <mergeCell ref="A14:F14"/>
    <mergeCell ref="A15:F15"/>
    <mergeCell ref="A16:F16"/>
    <mergeCell ref="A17:F17"/>
    <mergeCell ref="A19:F19"/>
    <mergeCell ref="A20:F20"/>
    <mergeCell ref="A21:F21"/>
    <mergeCell ref="A22:F22"/>
    <mergeCell ref="A23:F23"/>
    <mergeCell ref="A24:F24"/>
    <mergeCell ref="A25:F25"/>
    <mergeCell ref="A27:F27"/>
    <mergeCell ref="A28:F28"/>
    <mergeCell ref="A29:F29"/>
    <mergeCell ref="A30:F30"/>
    <mergeCell ref="A31:F31"/>
    <mergeCell ref="A32:F32"/>
    <mergeCell ref="A34:F34"/>
    <mergeCell ref="A35:F35"/>
    <mergeCell ref="A36:F36"/>
    <mergeCell ref="A37:F37"/>
    <mergeCell ref="A38:F38"/>
    <mergeCell ref="A39:F39"/>
    <mergeCell ref="A40:F40"/>
    <mergeCell ref="A42:F42"/>
    <mergeCell ref="A43:F43"/>
    <mergeCell ref="A44:F44"/>
    <mergeCell ref="A45:F45"/>
    <mergeCell ref="A46:F46"/>
    <mergeCell ref="A47:F47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2026-02-23T18:14:30Z</dcterms:created>
  <dc:creator>openpyxl</dc:creator>
  <dc:description/>
  <dc:language>en-US</dc:language>
  <cp:lastModifiedBy/>
  <dcterms:modified xsi:type="dcterms:W3CDTF">2026-02-23T18:14:30Z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